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_personal\32_professional\03_portfolio\02_dynamic_portfolios\_higharc\shane_freebourn_design_systems\private\"/>
    </mc:Choice>
  </mc:AlternateContent>
  <xr:revisionPtr revIDLastSave="0" documentId="13_ncr:1_{B11B8CC4-C14D-43FB-AA17-7A2CBD14CA61}" xr6:coauthVersionLast="47" xr6:coauthVersionMax="47" xr10:uidLastSave="{00000000-0000-0000-0000-000000000000}"/>
  <bookViews>
    <workbookView xWindow="19200" yWindow="0" windowWidth="19200" windowHeight="21000" xr2:uid="{F4365014-3C4D-4C7E-BDB0-58201F68265B}"/>
  </bookViews>
  <sheets>
    <sheet name="Lot Checker" sheetId="1" r:id="rId1"/>
    <sheet name="Lot Details" sheetId="7" r:id="rId2"/>
    <sheet name="Reference 1" sheetId="2" r:id="rId3"/>
    <sheet name="Base Houses" sheetId="4" r:id="rId4"/>
    <sheet name="House Option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I13" i="1"/>
  <c r="H27" i="1"/>
  <c r="AL2" i="1" a="1"/>
  <c r="AL2" i="1" s="1"/>
  <c r="H21" i="1"/>
  <c r="H18" i="1"/>
  <c r="H15" i="1"/>
  <c r="I24" i="1" s="1"/>
  <c r="H13" i="1"/>
  <c r="G13" i="1"/>
  <c r="AO2" i="1" a="1"/>
  <c r="AO2" i="1" s="1"/>
  <c r="AK2" i="1" a="1"/>
  <c r="AK2" i="1" s="1"/>
  <c r="AH2" i="1" a="1"/>
  <c r="AH2" i="1" s="1"/>
  <c r="AE2" i="1" a="1"/>
  <c r="AE2" i="1" s="1"/>
  <c r="AB2" i="1" a="1"/>
  <c r="AB2" i="1" s="1"/>
  <c r="AN2" i="1" a="1"/>
  <c r="AN2" i="1" s="1"/>
  <c r="AJ2" i="1" a="1"/>
  <c r="AJ2" i="1" s="1"/>
  <c r="AG2" i="1" a="1"/>
  <c r="AG2" i="1" s="1"/>
  <c r="AD2" i="1" a="1"/>
  <c r="AD2" i="1" s="1"/>
  <c r="AA2" i="1" a="1"/>
  <c r="AA2" i="1" s="1"/>
  <c r="I21" i="1" l="1"/>
  <c r="I18" i="1"/>
  <c r="B67" i="3"/>
  <c r="C67" i="3"/>
  <c r="E67" i="3"/>
  <c r="I67" i="3" s="1"/>
  <c r="F67" i="3"/>
  <c r="P67" i="3"/>
  <c r="V67" i="3"/>
  <c r="B66" i="3"/>
  <c r="C66" i="3"/>
  <c r="E66" i="3"/>
  <c r="I66" i="3" s="1"/>
  <c r="F66" i="3"/>
  <c r="V66" i="3"/>
  <c r="B65" i="3"/>
  <c r="C65" i="3"/>
  <c r="V65" i="3" s="1"/>
  <c r="E65" i="3"/>
  <c r="P65" i="3" s="1"/>
  <c r="F65" i="3"/>
  <c r="B64" i="3"/>
  <c r="C64" i="3"/>
  <c r="V64" i="3" s="1"/>
  <c r="E64" i="3"/>
  <c r="I64" i="3" s="1"/>
  <c r="F64" i="3"/>
  <c r="B63" i="3"/>
  <c r="C63" i="3"/>
  <c r="E63" i="3"/>
  <c r="I63" i="3" s="1"/>
  <c r="F63" i="3"/>
  <c r="V63" i="3"/>
  <c r="B62" i="3"/>
  <c r="C62" i="3"/>
  <c r="V62" i="3" s="1"/>
  <c r="E62" i="3"/>
  <c r="I62" i="3" s="1"/>
  <c r="F62" i="3"/>
  <c r="B61" i="3"/>
  <c r="C61" i="3"/>
  <c r="E61" i="3"/>
  <c r="I61" i="3" s="1"/>
  <c r="F61" i="3"/>
  <c r="V61" i="3"/>
  <c r="B60" i="3"/>
  <c r="C60" i="3"/>
  <c r="E60" i="3"/>
  <c r="I60" i="3" s="1"/>
  <c r="F60" i="3"/>
  <c r="L60" i="3"/>
  <c r="V60" i="3"/>
  <c r="B59" i="3"/>
  <c r="C59" i="3"/>
  <c r="E59" i="3"/>
  <c r="I59" i="3" s="1"/>
  <c r="F59" i="3"/>
  <c r="V59" i="3"/>
  <c r="F55" i="3"/>
  <c r="E55" i="3"/>
  <c r="P55" i="3" s="1"/>
  <c r="C55" i="3"/>
  <c r="V55" i="3" s="1"/>
  <c r="B55" i="3"/>
  <c r="F54" i="3"/>
  <c r="E54" i="3"/>
  <c r="P54" i="3" s="1"/>
  <c r="C54" i="3"/>
  <c r="V54" i="3" s="1"/>
  <c r="B54" i="3"/>
  <c r="F53" i="3"/>
  <c r="E53" i="3"/>
  <c r="L53" i="3" s="1"/>
  <c r="C53" i="3"/>
  <c r="B53" i="3"/>
  <c r="F52" i="3"/>
  <c r="E52" i="3"/>
  <c r="L52" i="3" s="1"/>
  <c r="C52" i="3"/>
  <c r="B52" i="3"/>
  <c r="F51" i="3"/>
  <c r="E51" i="3"/>
  <c r="P51" i="3" s="1"/>
  <c r="C51" i="3"/>
  <c r="V51" i="3" s="1"/>
  <c r="B51" i="3"/>
  <c r="F50" i="3"/>
  <c r="E50" i="3"/>
  <c r="P50" i="3" s="1"/>
  <c r="C50" i="3"/>
  <c r="B50" i="3"/>
  <c r="F49" i="3"/>
  <c r="E49" i="3"/>
  <c r="P49" i="3" s="1"/>
  <c r="C49" i="3"/>
  <c r="V49" i="3" s="1"/>
  <c r="B49" i="3"/>
  <c r="F48" i="3"/>
  <c r="E48" i="3"/>
  <c r="P48" i="3" s="1"/>
  <c r="C48" i="3"/>
  <c r="V48" i="3" s="1"/>
  <c r="B48" i="3"/>
  <c r="F47" i="3"/>
  <c r="E47" i="3"/>
  <c r="L47" i="3" s="1"/>
  <c r="C47" i="3"/>
  <c r="V47" i="3" s="1"/>
  <c r="B47" i="3"/>
  <c r="F46" i="3"/>
  <c r="E46" i="3"/>
  <c r="P46" i="3" s="1"/>
  <c r="C46" i="3"/>
  <c r="V46" i="3" s="1"/>
  <c r="B46" i="3"/>
  <c r="F45" i="3"/>
  <c r="E45" i="3"/>
  <c r="P45" i="3" s="1"/>
  <c r="C45" i="3"/>
  <c r="V45" i="3" s="1"/>
  <c r="B45" i="3"/>
  <c r="P44" i="3"/>
  <c r="F44" i="3"/>
  <c r="E44" i="3"/>
  <c r="L44" i="3" s="1"/>
  <c r="C44" i="3"/>
  <c r="B44" i="3"/>
  <c r="F43" i="3"/>
  <c r="E43" i="3"/>
  <c r="P43" i="3" s="1"/>
  <c r="C43" i="3"/>
  <c r="B43" i="3"/>
  <c r="F42" i="3"/>
  <c r="E42" i="3"/>
  <c r="P42" i="3" s="1"/>
  <c r="C42" i="3"/>
  <c r="V42" i="3" s="1"/>
  <c r="B42" i="3"/>
  <c r="F41" i="3"/>
  <c r="E41" i="3"/>
  <c r="L41" i="3" s="1"/>
  <c r="C41" i="3"/>
  <c r="B41" i="3"/>
  <c r="F40" i="3"/>
  <c r="E40" i="3"/>
  <c r="P40" i="3" s="1"/>
  <c r="C40" i="3"/>
  <c r="V40" i="3" s="1"/>
  <c r="B40" i="3"/>
  <c r="B29" i="3"/>
  <c r="C29" i="3"/>
  <c r="E29" i="3"/>
  <c r="F29" i="3"/>
  <c r="I29" i="3"/>
  <c r="L29" i="3"/>
  <c r="P29" i="3"/>
  <c r="V29" i="3"/>
  <c r="B36" i="3"/>
  <c r="C36" i="3"/>
  <c r="V36" i="3" s="1"/>
  <c r="E36" i="3"/>
  <c r="I36" i="3" s="1"/>
  <c r="F36" i="3"/>
  <c r="L36" i="3"/>
  <c r="B21" i="3"/>
  <c r="C21" i="3"/>
  <c r="V21" i="3" s="1"/>
  <c r="E21" i="3"/>
  <c r="I21" i="3" s="1"/>
  <c r="F21" i="3"/>
  <c r="B22" i="3"/>
  <c r="C22" i="3"/>
  <c r="V22" i="3" s="1"/>
  <c r="E22" i="3"/>
  <c r="I22" i="3" s="1"/>
  <c r="F22" i="3"/>
  <c r="B23" i="3"/>
  <c r="C23" i="3"/>
  <c r="V23" i="3" s="1"/>
  <c r="E23" i="3"/>
  <c r="P23" i="3" s="1"/>
  <c r="F23" i="3"/>
  <c r="B24" i="3"/>
  <c r="C24" i="3"/>
  <c r="V24" i="3" s="1"/>
  <c r="E24" i="3"/>
  <c r="P24" i="3" s="1"/>
  <c r="F24" i="3"/>
  <c r="B25" i="3"/>
  <c r="C25" i="3"/>
  <c r="V25" i="3" s="1"/>
  <c r="E25" i="3"/>
  <c r="P25" i="3" s="1"/>
  <c r="F25" i="3"/>
  <c r="B26" i="3"/>
  <c r="C26" i="3"/>
  <c r="V26" i="3" s="1"/>
  <c r="E26" i="3"/>
  <c r="I26" i="3" s="1"/>
  <c r="F26" i="3"/>
  <c r="B27" i="3"/>
  <c r="C27" i="3"/>
  <c r="V27" i="3" s="1"/>
  <c r="E27" i="3"/>
  <c r="I27" i="3" s="1"/>
  <c r="F27" i="3"/>
  <c r="B28" i="3"/>
  <c r="C28" i="3"/>
  <c r="V28" i="3" s="1"/>
  <c r="E28" i="3"/>
  <c r="P28" i="3" s="1"/>
  <c r="F28" i="3"/>
  <c r="B30" i="3"/>
  <c r="C30" i="3"/>
  <c r="E30" i="3"/>
  <c r="I30" i="3" s="1"/>
  <c r="F30" i="3"/>
  <c r="V30" i="3"/>
  <c r="B31" i="3"/>
  <c r="C31" i="3"/>
  <c r="V31" i="3" s="1"/>
  <c r="E31" i="3"/>
  <c r="I31" i="3" s="1"/>
  <c r="F31" i="3"/>
  <c r="B32" i="3"/>
  <c r="C32" i="3"/>
  <c r="V32" i="3" s="1"/>
  <c r="E32" i="3"/>
  <c r="P32" i="3" s="1"/>
  <c r="F32" i="3"/>
  <c r="B33" i="3"/>
  <c r="C33" i="3"/>
  <c r="V33" i="3" s="1"/>
  <c r="E33" i="3"/>
  <c r="P33" i="3" s="1"/>
  <c r="F33" i="3"/>
  <c r="L33" i="3"/>
  <c r="B34" i="3"/>
  <c r="C34" i="3"/>
  <c r="V34" i="3" s="1"/>
  <c r="E34" i="3"/>
  <c r="I34" i="3" s="1"/>
  <c r="F34" i="3"/>
  <c r="B35" i="3"/>
  <c r="C35" i="3"/>
  <c r="V35" i="3" s="1"/>
  <c r="E35" i="3"/>
  <c r="I35" i="3" s="1"/>
  <c r="F35" i="3"/>
  <c r="B37" i="3"/>
  <c r="C37" i="3"/>
  <c r="V37" i="3" s="1"/>
  <c r="E37" i="3"/>
  <c r="I37" i="3" s="1"/>
  <c r="F37" i="3"/>
  <c r="B58" i="3"/>
  <c r="C58" i="3"/>
  <c r="V58" i="3" s="1"/>
  <c r="E58" i="3"/>
  <c r="I58" i="3" s="1"/>
  <c r="F58" i="3"/>
  <c r="B57" i="3"/>
  <c r="C57" i="3"/>
  <c r="V57" i="3" s="1"/>
  <c r="E57" i="3"/>
  <c r="I57" i="3" s="1"/>
  <c r="F57" i="3"/>
  <c r="B56" i="3"/>
  <c r="C56" i="3"/>
  <c r="V56" i="3" s="1"/>
  <c r="E56" i="3"/>
  <c r="P56" i="3" s="1"/>
  <c r="F56" i="3"/>
  <c r="L56" i="3"/>
  <c r="V53" i="3"/>
  <c r="V52" i="3"/>
  <c r="V50" i="3"/>
  <c r="V44" i="3"/>
  <c r="V43" i="3"/>
  <c r="V41" i="3"/>
  <c r="B39" i="3"/>
  <c r="C39" i="3"/>
  <c r="V39" i="3" s="1"/>
  <c r="E39" i="3"/>
  <c r="I39" i="3" s="1"/>
  <c r="F39" i="3"/>
  <c r="B38" i="3"/>
  <c r="C38" i="3"/>
  <c r="V38" i="3" s="1"/>
  <c r="E38" i="3"/>
  <c r="L38" i="3" s="1"/>
  <c r="F38" i="3"/>
  <c r="B20" i="3"/>
  <c r="C20" i="3"/>
  <c r="V20" i="3" s="1"/>
  <c r="E20" i="3"/>
  <c r="I20" i="3" s="1"/>
  <c r="F20" i="3"/>
  <c r="B19" i="3"/>
  <c r="C19" i="3"/>
  <c r="V19" i="3" s="1"/>
  <c r="E19" i="3"/>
  <c r="I19" i="3" s="1"/>
  <c r="F19" i="3"/>
  <c r="B18" i="3"/>
  <c r="C18" i="3"/>
  <c r="V18" i="3" s="1"/>
  <c r="E18" i="3"/>
  <c r="I18" i="3" s="1"/>
  <c r="F18" i="3"/>
  <c r="B17" i="3"/>
  <c r="C17" i="3"/>
  <c r="V17" i="3" s="1"/>
  <c r="E17" i="3"/>
  <c r="L17" i="3" s="1"/>
  <c r="F17" i="3"/>
  <c r="B16" i="3"/>
  <c r="C16" i="3"/>
  <c r="V16" i="3" s="1"/>
  <c r="E16" i="3"/>
  <c r="I16" i="3" s="1"/>
  <c r="F16" i="3"/>
  <c r="B15" i="3"/>
  <c r="C15" i="3"/>
  <c r="V15" i="3" s="1"/>
  <c r="E15" i="3"/>
  <c r="I15" i="3" s="1"/>
  <c r="F15" i="3"/>
  <c r="B14" i="3"/>
  <c r="C14" i="3"/>
  <c r="V14" i="3" s="1"/>
  <c r="E14" i="3"/>
  <c r="L14" i="3" s="1"/>
  <c r="F14" i="3"/>
  <c r="B13" i="3"/>
  <c r="C13" i="3"/>
  <c r="V13" i="3" s="1"/>
  <c r="E13" i="3"/>
  <c r="P13" i="3" s="1"/>
  <c r="F13" i="3"/>
  <c r="B12" i="3"/>
  <c r="C12" i="3"/>
  <c r="V12" i="3" s="1"/>
  <c r="E12" i="3"/>
  <c r="I12" i="3" s="1"/>
  <c r="F12" i="3"/>
  <c r="B11" i="3"/>
  <c r="C11" i="3"/>
  <c r="V11" i="3" s="1"/>
  <c r="E11" i="3"/>
  <c r="I11" i="3" s="1"/>
  <c r="F11" i="3"/>
  <c r="B10" i="3"/>
  <c r="C10" i="3"/>
  <c r="V10" i="3" s="1"/>
  <c r="E10" i="3"/>
  <c r="P10" i="3" s="1"/>
  <c r="F10" i="3"/>
  <c r="B9" i="3"/>
  <c r="C9" i="3"/>
  <c r="V9" i="3" s="1"/>
  <c r="E9" i="3"/>
  <c r="L9" i="3" s="1"/>
  <c r="F9" i="3"/>
  <c r="B8" i="3"/>
  <c r="C8" i="3"/>
  <c r="V8" i="3" s="1"/>
  <c r="E8" i="3"/>
  <c r="I8" i="3" s="1"/>
  <c r="F8" i="3"/>
  <c r="B7" i="3"/>
  <c r="C7" i="3"/>
  <c r="V7" i="3" s="1"/>
  <c r="E7" i="3"/>
  <c r="L7" i="3" s="1"/>
  <c r="F7" i="3"/>
  <c r="F6" i="3"/>
  <c r="E6" i="3"/>
  <c r="L6" i="3" s="1"/>
  <c r="F4" i="1"/>
  <c r="C6" i="3"/>
  <c r="V6" i="3" s="1"/>
  <c r="B6" i="3"/>
  <c r="C16" i="1"/>
  <c r="C19" i="1" s="1"/>
  <c r="B16" i="1"/>
  <c r="I8" i="1"/>
  <c r="H8" i="1"/>
  <c r="G8" i="1"/>
  <c r="F8" i="1"/>
  <c r="E8" i="1"/>
  <c r="I4" i="1"/>
  <c r="H4" i="1"/>
  <c r="G4" i="1"/>
  <c r="C8" i="1"/>
  <c r="B8" i="1"/>
  <c r="Q7" i="7"/>
  <c r="R7" i="7" s="1"/>
  <c r="Q8" i="7"/>
  <c r="R8" i="7" s="1"/>
  <c r="Q9" i="7"/>
  <c r="R9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Q21" i="7"/>
  <c r="R21" i="7" s="1"/>
  <c r="Q22" i="7"/>
  <c r="R22" i="7" s="1"/>
  <c r="Q23" i="7"/>
  <c r="R23" i="7" s="1"/>
  <c r="Q24" i="7"/>
  <c r="R24" i="7" s="1"/>
  <c r="Q25" i="7"/>
  <c r="R25" i="7" s="1"/>
  <c r="Q26" i="7"/>
  <c r="R26" i="7" s="1"/>
  <c r="Q27" i="7"/>
  <c r="R27" i="7" s="1"/>
  <c r="Q28" i="7"/>
  <c r="R28" i="7" s="1"/>
  <c r="Q29" i="7"/>
  <c r="R29" i="7" s="1"/>
  <c r="Q30" i="7"/>
  <c r="R30" i="7" s="1"/>
  <c r="Q31" i="7"/>
  <c r="R31" i="7" s="1"/>
  <c r="Q32" i="7"/>
  <c r="R32" i="7" s="1"/>
  <c r="Q33" i="7"/>
  <c r="R33" i="7" s="1"/>
  <c r="Q34" i="7"/>
  <c r="R34" i="7" s="1"/>
  <c r="Q35" i="7"/>
  <c r="R35" i="7" s="1"/>
  <c r="Q36" i="7"/>
  <c r="R36" i="7" s="1"/>
  <c r="Q37" i="7"/>
  <c r="R37" i="7" s="1"/>
  <c r="Q38" i="7"/>
  <c r="R38" i="7" s="1"/>
  <c r="Q39" i="7"/>
  <c r="R39" i="7" s="1"/>
  <c r="Q40" i="7"/>
  <c r="R40" i="7" s="1"/>
  <c r="Q41" i="7"/>
  <c r="R41" i="7" s="1"/>
  <c r="Q42" i="7"/>
  <c r="R42" i="7" s="1"/>
  <c r="Q43" i="7"/>
  <c r="R43" i="7" s="1"/>
  <c r="Q44" i="7"/>
  <c r="R44" i="7" s="1"/>
  <c r="Q45" i="7"/>
  <c r="R45" i="7" s="1"/>
  <c r="Q46" i="7"/>
  <c r="R46" i="7" s="1"/>
  <c r="Q47" i="7"/>
  <c r="R47" i="7" s="1"/>
  <c r="Q48" i="7"/>
  <c r="R48" i="7" s="1"/>
  <c r="Q49" i="7"/>
  <c r="R49" i="7" s="1"/>
  <c r="Q50" i="7"/>
  <c r="R50" i="7" s="1"/>
  <c r="Q51" i="7"/>
  <c r="R51" i="7" s="1"/>
  <c r="Q52" i="7"/>
  <c r="R52" i="7" s="1"/>
  <c r="Q53" i="7"/>
  <c r="R53" i="7" s="1"/>
  <c r="Q54" i="7"/>
  <c r="R54" i="7" s="1"/>
  <c r="Q55" i="7"/>
  <c r="R55" i="7" s="1"/>
  <c r="Q56" i="7"/>
  <c r="R56" i="7" s="1"/>
  <c r="Q57" i="7"/>
  <c r="Q58" i="7"/>
  <c r="R58" i="7" s="1"/>
  <c r="Q59" i="7"/>
  <c r="R59" i="7" s="1"/>
  <c r="Q60" i="7"/>
  <c r="R60" i="7" s="1"/>
  <c r="Q61" i="7"/>
  <c r="R61" i="7" s="1"/>
  <c r="Q62" i="7"/>
  <c r="R62" i="7" s="1"/>
  <c r="Q63" i="7"/>
  <c r="R63" i="7" s="1"/>
  <c r="R20" i="7"/>
  <c r="R57" i="7"/>
  <c r="Q6" i="7"/>
  <c r="R6" i="7" s="1"/>
  <c r="O63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" i="7"/>
  <c r="E4" i="1" s="1"/>
  <c r="B19" i="1" l="1"/>
  <c r="F10" i="1" s="1"/>
  <c r="P66" i="3"/>
  <c r="L66" i="3"/>
  <c r="U66" i="3" s="1"/>
  <c r="P63" i="3"/>
  <c r="L63" i="3"/>
  <c r="U63" i="3" s="1"/>
  <c r="L67" i="3"/>
  <c r="U67" i="3" s="1"/>
  <c r="I65" i="3"/>
  <c r="L65" i="3"/>
  <c r="P64" i="3"/>
  <c r="L64" i="3"/>
  <c r="P62" i="3"/>
  <c r="L62" i="3"/>
  <c r="U62" i="3" s="1"/>
  <c r="P61" i="3"/>
  <c r="L61" i="3"/>
  <c r="P60" i="3"/>
  <c r="U60" i="3"/>
  <c r="P59" i="3"/>
  <c r="L59" i="3"/>
  <c r="U59" i="3" s="1"/>
  <c r="I56" i="3"/>
  <c r="U56" i="3" s="1"/>
  <c r="P53" i="3"/>
  <c r="P47" i="3"/>
  <c r="P41" i="3"/>
  <c r="I41" i="3"/>
  <c r="U41" i="3" s="1"/>
  <c r="I44" i="3"/>
  <c r="U44" i="3" s="1"/>
  <c r="I47" i="3"/>
  <c r="U47" i="3" s="1"/>
  <c r="I50" i="3"/>
  <c r="U50" i="3" s="1"/>
  <c r="I53" i="3"/>
  <c r="U53" i="3" s="1"/>
  <c r="L50" i="3"/>
  <c r="I42" i="3"/>
  <c r="I45" i="3"/>
  <c r="I48" i="3"/>
  <c r="I51" i="3"/>
  <c r="I54" i="3"/>
  <c r="L42" i="3"/>
  <c r="L45" i="3"/>
  <c r="L48" i="3"/>
  <c r="L51" i="3"/>
  <c r="L54" i="3"/>
  <c r="I40" i="3"/>
  <c r="U40" i="3" s="1"/>
  <c r="I43" i="3"/>
  <c r="I46" i="3"/>
  <c r="I49" i="3"/>
  <c r="U49" i="3" s="1"/>
  <c r="I52" i="3"/>
  <c r="U52" i="3" s="1"/>
  <c r="I55" i="3"/>
  <c r="U55" i="3" s="1"/>
  <c r="L43" i="3"/>
  <c r="L46" i="3"/>
  <c r="L55" i="3"/>
  <c r="L40" i="3"/>
  <c r="L49" i="3"/>
  <c r="P52" i="3"/>
  <c r="U29" i="3"/>
  <c r="I10" i="3"/>
  <c r="P57" i="3"/>
  <c r="L57" i="3"/>
  <c r="U57" i="3" s="1"/>
  <c r="P36" i="3"/>
  <c r="P58" i="3"/>
  <c r="L58" i="3"/>
  <c r="L10" i="3"/>
  <c r="U10" i="3" s="1"/>
  <c r="U36" i="3"/>
  <c r="I33" i="3"/>
  <c r="P39" i="3"/>
  <c r="L39" i="3"/>
  <c r="P38" i="3"/>
  <c r="I38" i="3"/>
  <c r="L25" i="3"/>
  <c r="I25" i="3"/>
  <c r="U25" i="3" s="1"/>
  <c r="P22" i="3"/>
  <c r="L22" i="3"/>
  <c r="U22" i="3" s="1"/>
  <c r="P21" i="3"/>
  <c r="L21" i="3"/>
  <c r="U21" i="3" s="1"/>
  <c r="L13" i="3"/>
  <c r="L11" i="3"/>
  <c r="P26" i="3"/>
  <c r="L31" i="3"/>
  <c r="P16" i="3"/>
  <c r="P35" i="3"/>
  <c r="L35" i="3"/>
  <c r="L34" i="3"/>
  <c r="P34" i="3"/>
  <c r="U33" i="3"/>
  <c r="P31" i="3"/>
  <c r="U31" i="3" s="1"/>
  <c r="P30" i="3"/>
  <c r="L30" i="3"/>
  <c r="L28" i="3"/>
  <c r="I28" i="3"/>
  <c r="U28" i="3" s="1"/>
  <c r="L26" i="3"/>
  <c r="U26" i="3" s="1"/>
  <c r="I24" i="3"/>
  <c r="L24" i="3"/>
  <c r="L32" i="3"/>
  <c r="L23" i="3"/>
  <c r="I32" i="3"/>
  <c r="U32" i="3" s="1"/>
  <c r="I23" i="3"/>
  <c r="P37" i="3"/>
  <c r="P27" i="3"/>
  <c r="L37" i="3"/>
  <c r="L27" i="3"/>
  <c r="L20" i="3"/>
  <c r="P20" i="3"/>
  <c r="P19" i="3"/>
  <c r="L19" i="3"/>
  <c r="P18" i="3"/>
  <c r="L18" i="3"/>
  <c r="I17" i="3"/>
  <c r="P17" i="3"/>
  <c r="L16" i="3"/>
  <c r="U16" i="3" s="1"/>
  <c r="P15" i="3"/>
  <c r="L15" i="3"/>
  <c r="P14" i="3"/>
  <c r="I14" i="3"/>
  <c r="I13" i="3"/>
  <c r="P12" i="3"/>
  <c r="L12" i="3"/>
  <c r="U18" i="3"/>
  <c r="P11" i="3"/>
  <c r="U11" i="3" s="1"/>
  <c r="I9" i="3"/>
  <c r="P9" i="3"/>
  <c r="U9" i="3" s="1"/>
  <c r="P8" i="3"/>
  <c r="L8" i="3"/>
  <c r="P7" i="3"/>
  <c r="I7" i="3"/>
  <c r="P6" i="3"/>
  <c r="I6" i="3"/>
  <c r="F5" i="1"/>
  <c r="E5" i="1"/>
  <c r="U65" i="3" l="1"/>
  <c r="U64" i="3"/>
  <c r="U61" i="3"/>
  <c r="U58" i="3"/>
  <c r="U38" i="3"/>
  <c r="U43" i="3"/>
  <c r="U54" i="3"/>
  <c r="U48" i="3"/>
  <c r="U42" i="3"/>
  <c r="U46" i="3"/>
  <c r="U51" i="3"/>
  <c r="U45" i="3"/>
  <c r="U13" i="3"/>
  <c r="U17" i="3"/>
  <c r="U20" i="3"/>
  <c r="U39" i="3"/>
  <c r="U30" i="3"/>
  <c r="U24" i="3"/>
  <c r="U23" i="3"/>
  <c r="U12" i="3"/>
  <c r="U7" i="3"/>
  <c r="U8" i="3"/>
  <c r="U19" i="3"/>
  <c r="U14" i="3"/>
  <c r="U34" i="3"/>
  <c r="U35" i="3"/>
  <c r="U37" i="3"/>
  <c r="U15" i="3"/>
  <c r="U27" i="3"/>
  <c r="U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<sst xmlns="http://schemas.openxmlformats.org/spreadsheetml/2006/main" count="839" uniqueCount="121">
  <si>
    <t>Lot Details</t>
  </si>
  <si>
    <t>Lot Number</t>
  </si>
  <si>
    <t>Sold</t>
  </si>
  <si>
    <t>Sale Date</t>
  </si>
  <si>
    <t>Owner</t>
  </si>
  <si>
    <t>Sale Status</t>
  </si>
  <si>
    <t>Max Width (ft)</t>
  </si>
  <si>
    <t>Min Width (ft)</t>
  </si>
  <si>
    <t>Max Depth (ft)</t>
  </si>
  <si>
    <t>Min Depth (ft)</t>
  </si>
  <si>
    <t>Cul de Sac</t>
  </si>
  <si>
    <t>Corner</t>
  </si>
  <si>
    <t>Sale Amount</t>
  </si>
  <si>
    <t>House Base</t>
  </si>
  <si>
    <t>Available</t>
  </si>
  <si>
    <t>Lot Hold</t>
  </si>
  <si>
    <t>Hold Date</t>
  </si>
  <si>
    <t>Days Remaining on Hold</t>
  </si>
  <si>
    <t>Date Hold Ends</t>
  </si>
  <si>
    <t>Dunham</t>
  </si>
  <si>
    <t>Crane</t>
  </si>
  <si>
    <t>Hart</t>
  </si>
  <si>
    <t>Lexington</t>
  </si>
  <si>
    <t>Veil</t>
  </si>
  <si>
    <t>Address</t>
  </si>
  <si>
    <t>Street Number</t>
  </si>
  <si>
    <t>Street Name</t>
  </si>
  <si>
    <t>City</t>
  </si>
  <si>
    <t>State</t>
  </si>
  <si>
    <t>Zip</t>
  </si>
  <si>
    <t>Lot Dimensions</t>
  </si>
  <si>
    <t>Lot Status</t>
  </si>
  <si>
    <t>Special Details</t>
  </si>
  <si>
    <t>Sale Data</t>
  </si>
  <si>
    <t>Availability</t>
  </si>
  <si>
    <t>Yes or No</t>
  </si>
  <si>
    <t>Yes</t>
  </si>
  <si>
    <t>No</t>
  </si>
  <si>
    <t>House Options</t>
  </si>
  <si>
    <t>Base Width (ft)</t>
  </si>
  <si>
    <t>Base Depth (ft)</t>
  </si>
  <si>
    <t>Base Houses</t>
  </si>
  <si>
    <t>Width (ft)</t>
  </si>
  <si>
    <t>Depth (ft)</t>
  </si>
  <si>
    <t>3-Car Garage</t>
  </si>
  <si>
    <t>Option Locations</t>
  </si>
  <si>
    <t>Rear</t>
  </si>
  <si>
    <t>Front</t>
  </si>
  <si>
    <t>Option Location</t>
  </si>
  <si>
    <t>Additional Length</t>
  </si>
  <si>
    <t>Kitchen</t>
  </si>
  <si>
    <t>Great Room</t>
  </si>
  <si>
    <t>Master Bath</t>
  </si>
  <si>
    <t>Master Closet</t>
  </si>
  <si>
    <t>Master Bed</t>
  </si>
  <si>
    <t>Dining</t>
  </si>
  <si>
    <t>Laundry</t>
  </si>
  <si>
    <t>Garage</t>
  </si>
  <si>
    <t>Style Options</t>
  </si>
  <si>
    <t>Craftsman</t>
  </si>
  <si>
    <t>Colonial</t>
  </si>
  <si>
    <t>Italianate</t>
  </si>
  <si>
    <t>3-Car Side</t>
  </si>
  <si>
    <t>Lot Fit Checker</t>
  </si>
  <si>
    <t>Cardinal Direction</t>
  </si>
  <si>
    <t>Direction</t>
  </si>
  <si>
    <t>North</t>
  </si>
  <si>
    <t>South</t>
  </si>
  <si>
    <t>East</t>
  </si>
  <si>
    <t>West</t>
  </si>
  <si>
    <t>Width</t>
  </si>
  <si>
    <t>Depth</t>
  </si>
  <si>
    <t>Option Selections</t>
  </si>
  <si>
    <t>Base Dimensions</t>
  </si>
  <si>
    <t>New Dimensions</t>
  </si>
  <si>
    <t>Does it Fit:</t>
  </si>
  <si>
    <t>Northeast</t>
  </si>
  <si>
    <t>Northwest</t>
  </si>
  <si>
    <t>Southeast</t>
  </si>
  <si>
    <t>Southwest</t>
  </si>
  <si>
    <t>Front Door Direction</t>
  </si>
  <si>
    <t>Status</t>
  </si>
  <si>
    <t>Ohio</t>
  </si>
  <si>
    <t>Left</t>
  </si>
  <si>
    <t>Right</t>
  </si>
  <si>
    <t>Garage Side</t>
  </si>
  <si>
    <t>Left Side Bump</t>
  </si>
  <si>
    <t>3-Car Dim</t>
  </si>
  <si>
    <t>Right Side Bump</t>
  </si>
  <si>
    <t>Rear Bump</t>
  </si>
  <si>
    <t>Patio Extension</t>
  </si>
  <si>
    <t>Rear bump</t>
  </si>
  <si>
    <t>Front Bump</t>
  </si>
  <si>
    <t>G Additional Width</t>
  </si>
  <si>
    <t>L Additional Width</t>
  </si>
  <si>
    <t>R Additional Width</t>
  </si>
  <si>
    <t>P Additional Width</t>
  </si>
  <si>
    <t>R Additional Depth</t>
  </si>
  <si>
    <t>F Additional Depth</t>
  </si>
  <si>
    <t>L Behind Garage</t>
  </si>
  <si>
    <t>R Behind Garage</t>
  </si>
  <si>
    <t>P Behind Garage</t>
  </si>
  <si>
    <t>Patio Side</t>
  </si>
  <si>
    <t>Total Width</t>
  </si>
  <si>
    <t>Total Depth</t>
  </si>
  <si>
    <t>Footprint Options</t>
  </si>
  <si>
    <t>Garage Option</t>
  </si>
  <si>
    <t>Right Side Bump Option</t>
  </si>
  <si>
    <t>Left Side Bump Option</t>
  </si>
  <si>
    <t>Patio Expansion</t>
  </si>
  <si>
    <t>Right Side Dim Options</t>
  </si>
  <si>
    <t>Left Side Dim Options</t>
  </si>
  <si>
    <t>Patio Dim Options</t>
  </si>
  <si>
    <t>Rear Bump Dim Options</t>
  </si>
  <si>
    <t>Garage Width</t>
  </si>
  <si>
    <t>P Side</t>
  </si>
  <si>
    <t>Buildable Dims</t>
  </si>
  <si>
    <t>Woodland Lane</t>
  </si>
  <si>
    <t>Woodland Court</t>
  </si>
  <si>
    <t>Woodland Dr</t>
  </si>
  <si>
    <t>TWP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</si>
</sst>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0000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1" fillId="2" borderId="1" xfId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" fillId="2" borderId="1" xfId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Input" xfId="1" builtinId="20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C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&quot;$&quot;#,##0.00"/>
      <alignment horizontal="center" vertical="bottom" textRotation="0" wrapText="0" indent="0" justifyLastLine="0" shrinkToFit="0" readingOrder="0"/>
    </dxf>
    <dxf>
      <numFmt numFmtId="164" formatCode="[$-409]mmmm\ d\,\ 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409]mmmm\ d\,\ yyyy;@"/>
      <alignment horizontal="center" vertical="bottom" textRotation="0" wrapText="0" indent="0" justifyLastLine="0" shrinkToFit="0" readingOrder="0"/>
    </dxf>
    <dxf>
      <numFmt numFmtId="164" formatCode="[$-409]mmmm\ d\,\ 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F7B2B2-F300-40F2-94DA-8EABBD410EBC}" name="LotDet" displayName="LotDet" ref="A5:V63" totalsRowShown="0" headerRowDxfId="62" dataDxfId="61">
  <autoFilter ref="A5:V63" xr:uid="{18F7B2B2-F300-40F2-94DA-8EABBD410EBC}"/>
  <tableColumns count="22">
    <tableColumn id="1" xr3:uid="{1B1FCAFF-931E-48EB-9FA6-A93A39B2DD4A}" name="Lot Number" dataDxfId="60"/>
    <tableColumn id="2" xr3:uid="{C8B1A359-7DF5-4892-9693-D013E080F4B9}" name="Street Number" dataDxfId="59"/>
    <tableColumn id="3" xr3:uid="{4FAC2175-6C3F-41B5-A2CB-EDC6611069DA}" name="Street Name" dataDxfId="58"/>
    <tableColumn id="4" xr3:uid="{C28E1F0C-D2C2-4115-9413-0AF0F058FE4D}" name="City" dataDxfId="57"/>
    <tableColumn id="5" xr3:uid="{27693A38-C810-463D-943D-FCD6EC2A7F0F}" name="State" dataDxfId="56"/>
    <tableColumn id="6" xr3:uid="{39A59CFB-DD74-4AAA-BDBC-BA7FD393929C}" name="Zip" dataDxfId="55"/>
    <tableColumn id="7" xr3:uid="{CFD08E58-B814-4188-BF3C-5F945F24B8BC}" name="Max Width (ft)" dataDxfId="54"/>
    <tableColumn id="8" xr3:uid="{89C1CCF2-0670-4C99-8F4B-BE090AD80F57}" name="Min Width (ft)" dataDxfId="53"/>
    <tableColumn id="9" xr3:uid="{C08B250A-16A5-4F82-9307-253DA48BA71B}" name="Max Depth (ft)" dataDxfId="52"/>
    <tableColumn id="10" xr3:uid="{9A4C63CE-7EE4-455B-BF6E-A573A732080E}" name="Min Depth (ft)" dataDxfId="51"/>
    <tableColumn id="11" xr3:uid="{707AD67D-0FA3-4EEF-AC55-DF976450F57F}" name="Cul de Sac" dataDxfId="50"/>
    <tableColumn id="12" xr3:uid="{06261941-F55B-4D8A-BB48-9D16BFB0FE5A}" name="Corner" dataDxfId="49"/>
    <tableColumn id="23" xr3:uid="{484A3F65-3708-4808-AD8B-2AAD6A123CC5}" name="Cardinal Direction" dataDxfId="48"/>
    <tableColumn id="13" xr3:uid="{D23B2BC8-560A-41E4-9CB8-78B81EABFB4F}" name="Sale Status" dataDxfId="47"/>
    <tableColumn id="14" xr3:uid="{2215CEB3-9657-4858-9039-0A792EF3B3B5}" name="Available" dataDxfId="46">
      <calculatedColumnFormula>IF(N6="Available","Yes","No")</calculatedColumnFormula>
    </tableColumn>
    <tableColumn id="15" xr3:uid="{648AA4C1-FB78-4E34-AAEA-D1EC016D89D9}" name="Hold Date" dataDxfId="45"/>
    <tableColumn id="16" xr3:uid="{EF61E5B4-1B94-4946-963E-D43BF7C5992C}" name="Date Hold Ends" dataDxfId="44">
      <calculatedColumnFormula>DATE(YEAR(P6),MONTH(P6),DAY(P6)+30)</calculatedColumnFormula>
    </tableColumn>
    <tableColumn id="17" xr3:uid="{DB3CCD57-3D14-418E-97F8-8011E72351BC}" name="Days Remaining on Hold" dataDxfId="43">
      <calculatedColumnFormula>MAX(0,Q6-TODAY())</calculatedColumnFormula>
    </tableColumn>
    <tableColumn id="18" xr3:uid="{58B42BA3-E14E-4A69-9472-13B72BC238A0}" name="Sale Date" dataDxfId="42"/>
    <tableColumn id="19" xr3:uid="{EBE9DB46-FFD2-46C8-8258-6FE0CAD749DC}" name="Sale Amount" dataDxfId="41"/>
    <tableColumn id="20" xr3:uid="{54A4FDCF-D92F-46A4-BFCF-CE284ADF9E37}" name="House Base" dataDxfId="40"/>
    <tableColumn id="21" xr3:uid="{ACC126A9-B548-41E3-8562-BABCCD2B040D}" name="Owner" dataDxfId="3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8A846-3BD2-4B49-823E-F359604D7E79}" name="HouseTypes" displayName="HouseTypes" ref="E1:E6" totalsRowShown="0">
  <autoFilter ref="E1:E6" xr:uid="{8F68A846-3BD2-4B49-823E-F359604D7E79}"/>
  <tableColumns count="1">
    <tableColumn id="1" xr3:uid="{68D1EDA8-A7DD-4FCC-968D-13F5BD177F30}" name="House Bas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B7DB56-2489-48F7-A499-034DBE2CFEB7}" name="LotSold" displayName="LotSold" ref="A1:A4" totalsRowShown="0">
  <autoFilter ref="A1:A4" xr:uid="{BAB7DB56-2489-48F7-A499-034DBE2CFEB7}"/>
  <tableColumns count="1">
    <tableColumn id="1" xr3:uid="{97C554BF-06FD-4FDD-BD5A-B926D796CD7E}" name="Sale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07FA78-E061-4949-8A4B-04F00F952C21}" name="HouseSold" displayName="HouseSold" ref="C1:C2" totalsRowShown="0">
  <autoFilter ref="C1:C2" xr:uid="{2707FA78-E061-4949-8A4B-04F00F952C21}"/>
  <tableColumns count="1">
    <tableColumn id="1" xr3:uid="{E893706A-0FDE-43C3-BEB2-EA5E5336ECE6}" name="Sale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1B579D-4725-4A5B-878A-856D9EE84958}" name="YesNo" displayName="YesNo" ref="G1:G3" totalsRowShown="0">
  <autoFilter ref="G1:G3" xr:uid="{9C1B579D-4725-4A5B-878A-856D9EE84958}"/>
  <tableColumns count="1">
    <tableColumn id="1" xr3:uid="{B504D740-2C5F-46E0-83BB-E2E8F5AAD43A}" name="Yes or N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E334ED-1ED2-4BF4-9BDA-7FE36DAD4883}" name="StrNam" displayName="StrNam" ref="I1:I4" totalsRowShown="0">
  <autoFilter ref="I1:I4" xr:uid="{59E334ED-1ED2-4BF4-9BDA-7FE36DAD4883}"/>
  <tableColumns count="1">
    <tableColumn id="1" xr3:uid="{CF594EF6-3453-4962-BF93-868B40BD4972}" name="Street Nam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DC46BC-89C5-4323-9CF0-CFF0F9CD148D}" name="StrNum" displayName="StrNum" ref="K1:K2" totalsRowShown="0" dataDxfId="38">
  <autoFilter ref="K1:K2" xr:uid="{34DC46BC-89C5-4323-9CF0-CFF0F9CD148D}"/>
  <tableColumns count="1">
    <tableColumn id="1" xr3:uid="{F4D1CBC2-0066-4EAD-A58E-97B4A3D991D2}" name="Street Number" dataDxfId="3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76F945-EFB4-4D46-A009-3F15D31AB9C7}" name="OptFtPrt" displayName="OptFtPrt" ref="M1:M5" totalsRowShown="0">
  <autoFilter ref="M1:M5" xr:uid="{7876F945-EFB4-4D46-A009-3F15D31AB9C7}"/>
  <tableColumns count="1">
    <tableColumn id="1" xr3:uid="{7E4E269A-85F8-47DD-9020-BB97EE0C5F9A}" name="Option Location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C86A035-9ED5-4B5A-83B5-EDBF9757E1C9}" name="AddLng" displayName="AddLng" ref="Q1:Q31" totalsRowShown="0" dataDxfId="36">
  <autoFilter ref="Q1:Q31" xr:uid="{7C86A035-9ED5-4B5A-83B5-EDBF9757E1C9}"/>
  <sortState xmlns:xlrd2="http://schemas.microsoft.com/office/spreadsheetml/2017/richdata2" ref="Q2:Q31">
    <sortCondition ref="Q1:Q31"/>
  </sortState>
  <tableColumns count="1">
    <tableColumn id="1" xr3:uid="{B27EA4C1-FD27-4C3B-B989-DA9932EA2329}" name="Additional Length" dataDxfId="3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37C0A22-5DC5-4B66-99EA-2C28CBE1AD18}" name="OptLoc" displayName="OptLoc" ref="O1:O9" totalsRowShown="0">
  <autoFilter ref="O1:O9" xr:uid="{937C0A22-5DC5-4B66-99EA-2C28CBE1AD18}"/>
  <tableColumns count="1">
    <tableColumn id="1" xr3:uid="{FE6856AC-F4C2-49FD-82EE-D89B5CBFBCD3}" name="Option Loc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64AD78A-BCAC-4DC9-B984-8B28B15B4E68}" name="StlOpt" displayName="StlOpt" ref="S1:S4" totalsRowShown="0">
  <autoFilter ref="S1:S4" xr:uid="{664AD78A-BCAC-4DC9-B984-8B28B15B4E68}"/>
  <tableColumns count="1">
    <tableColumn id="1" xr3:uid="{4A9C4EB8-AB81-4EE4-BADF-340BD0F61E4B}" name="Style Option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331340A-D405-4D9E-97DA-8CEAF48D393D}" name="CardDir" displayName="CardDir" ref="G5:G13" totalsRowShown="0">
  <autoFilter ref="G5:G13" xr:uid="{C331340A-D405-4D9E-97DA-8CEAF48D393D}"/>
  <sortState xmlns:xlrd2="http://schemas.microsoft.com/office/spreadsheetml/2017/richdata2" ref="G6:G13">
    <sortCondition ref="G5:G13"/>
  </sortState>
  <tableColumns count="1">
    <tableColumn id="1" xr3:uid="{BF03388A-84A4-451C-844E-DFADCA413825}" name="Direc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620634-3FE9-41D4-B668-91448A761781}" name="BaseHouse" displayName="BaseHouse" ref="A3:E8" totalsRowShown="0">
  <autoFilter ref="A3:E8" xr:uid="{AB620634-3FE9-41D4-B668-91448A761781}"/>
  <tableColumns count="5">
    <tableColumn id="1" xr3:uid="{D689333C-4B82-4363-80D9-F8DF44C458BC}" name="House Base"/>
    <tableColumn id="2" xr3:uid="{BE484B4A-E160-4BDA-8030-0CA31E11EBAE}" name="Width (ft)"/>
    <tableColumn id="3" xr3:uid="{E7267E71-8AE6-48B4-AEDB-DED54DA5C42B}" name="Depth (ft)"/>
    <tableColumn id="6" xr3:uid="{7018965D-9FD2-48AE-9CCC-FE6C7A7246D7}" name="3-Car Side"/>
    <tableColumn id="4" xr3:uid="{6F26CEE7-EC95-4E85-BBBB-DF9918E5A357}" name="3-Car Dim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A8BB64-F24A-4DA4-AE59-9658958C7ED3}" name="HseOpt" displayName="HseOpt" ref="A5:V67" totalsRowShown="0" headerRowDxfId="34" dataDxfId="33">
  <autoFilter ref="A5:V67" xr:uid="{2DA8BB64-F24A-4DA4-AE59-9658958C7ED3}"/>
  <tableColumns count="22">
    <tableColumn id="1" xr3:uid="{2437AAFF-C0C7-448A-BBD5-BF82B2D801C7}" name="House Base" dataDxfId="32"/>
    <tableColumn id="2" xr3:uid="{9FCFBCE6-EB7F-484E-9CFF-F1B73BDAA608}" name="Base Width (ft)" dataDxfId="31">
      <calculatedColumnFormula>_xlfn.XLOOKUP(A6,BaseHouse[House Base],BaseHouse[Width (ft)],"",0,1)</calculatedColumnFormula>
    </tableColumn>
    <tableColumn id="3" xr3:uid="{40BA34A8-2D00-4206-B5B3-BC6918B71B0A}" name="Base Depth (ft)" dataDxfId="30">
      <calculatedColumnFormula>_xlfn.XLOOKUP(A6,BaseHouse[House Base],BaseHouse[Depth (ft)],"",0,1)</calculatedColumnFormula>
    </tableColumn>
    <tableColumn id="4" xr3:uid="{C68044AE-4E84-4541-BDF2-3A241D307926}" name="3-Car Garage" dataDxfId="29"/>
    <tableColumn id="5" xr3:uid="{87386F66-AA44-405D-A441-EB2CC2910DB2}" name="Garage Side" dataDxfId="28">
      <calculatedColumnFormula>IF(D6="Yes",_xlfn.XLOOKUP(A6,BaseHouse[House Base],BaseHouse[3-Car Side],,0,1),"N/A")</calculatedColumnFormula>
    </tableColumn>
    <tableColumn id="6" xr3:uid="{CAFA4009-D014-489E-9EBA-BB886E153E73}" name="G Additional Width" dataDxfId="27">
      <calculatedColumnFormula>IF(D6="Yes",_xlfn.XLOOKUP(A6,BaseHouse[House Base],BaseHouse[3-Car Dim],,0,1),"N/A")</calculatedColumnFormula>
    </tableColumn>
    <tableColumn id="7" xr3:uid="{1EF0D77A-59D1-4595-BE30-EE7223109E0B}" name="Left Side Bump" dataDxfId="26"/>
    <tableColumn id="8" xr3:uid="{8D7302A1-46A3-4918-9E89-2DEA29F9515A}" name="L Additional Width" dataDxfId="25"/>
    <tableColumn id="9" xr3:uid="{1D52A795-3457-450B-AAD4-EF4C211BBF09}" name="L Behind Garage" dataDxfId="24">
      <calculatedColumnFormula>IF(E6="Left","Yes","No")</calculatedColumnFormula>
    </tableColumn>
    <tableColumn id="10" xr3:uid="{FBC1D5EB-C298-49FA-819C-629809F9B328}" name="Right Side Bump" dataDxfId="23"/>
    <tableColumn id="11" xr3:uid="{33F7E976-EB9A-4077-AB37-E1EEB79E2A27}" name="R Additional Width" dataDxfId="22"/>
    <tableColumn id="12" xr3:uid="{6952F722-DD27-41DC-B320-F93A361544A8}" name="R Behind Garage" dataDxfId="21">
      <calculatedColumnFormula>IF(E6="Right","Yes","No")</calculatedColumnFormula>
    </tableColumn>
    <tableColumn id="13" xr3:uid="{52197043-C5CA-463D-A722-D8681884748C}" name="Patio Extension" dataDxfId="20"/>
    <tableColumn id="14" xr3:uid="{C817A887-C565-4CBB-AF1A-3CE49D7DE6C9}" name="P Additional Width" dataDxfId="19"/>
    <tableColumn id="15" xr3:uid="{2027C2BA-B727-4A85-AEB2-D6913E61CB6B}" name="Patio Side" dataDxfId="18"/>
    <tableColumn id="16" xr3:uid="{0D7ADF56-D3E1-474E-A539-030D56FB84F0}" name="P Behind Garage" dataDxfId="17">
      <calculatedColumnFormula>IF(O6=E6,"Yes","No")</calculatedColumnFormula>
    </tableColumn>
    <tableColumn id="17" xr3:uid="{33AE818A-9613-4248-B37C-0930C345BEE9}" name="Rear bump" dataDxfId="16"/>
    <tableColumn id="18" xr3:uid="{6E4686A0-D992-405D-98BC-CC21E23A7733}" name="R Additional Depth" dataDxfId="15"/>
    <tableColumn id="19" xr3:uid="{4C8E768B-89C7-4BB7-9B69-1D3E8C0A0C1F}" name="Front Bump" dataDxfId="14"/>
    <tableColumn id="20" xr3:uid="{A94ADB04-05A5-4F6E-BF6C-477B3E2A3D44}" name="F Additional Depth" dataDxfId="13"/>
    <tableColumn id="21" xr3:uid="{23DBF88F-08F0-43A9-A727-B9398AD73C6D}" name="Total Width" dataDxfId="12">
      <calculatedColumnFormula>SUM(B6,IF(D6="Yes",F6,),IF(I6="Yes",,H6),IF(L6="Yes",,K6),IF(P6="Yes",,N6))</calculatedColumnFormula>
    </tableColumn>
    <tableColumn id="22" xr3:uid="{62B9F0D2-62D7-4554-92DD-10DF7570FDF4}" name="Total Depth" dataDxfId="11">
      <calculatedColumnFormula>SUM(C6,IF(Q6="Yes",R6,),IF(S6="Yes",T6,))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BFF1-1BFC-4B18-9676-4B8CA6A03E36}">
  <sheetPr>
    <tabColor theme="4" tint="0.39997558519241921"/>
  </sheetPr>
  <dimension ref="A1:AO27"/>
  <sheetViews>
    <sheetView tabSelected="1" zoomScaleNormal="100" workbookViewId="0">
      <selection activeCell="B4" sqref="B4:C4"/>
    </sheetView>
  </sheetViews>
  <sheetFormatPr defaultRowHeight="15" x14ac:dyDescent="0.25"/>
  <cols>
    <col min="2" max="2" width="11.5703125" customWidth="1"/>
    <col min="3" max="3" width="11.28515625" customWidth="1"/>
    <col min="4" max="4" width="4.7109375" customWidth="1"/>
    <col min="5" max="5" width="18.85546875" bestFit="1" customWidth="1"/>
    <col min="6" max="6" width="14.85546875" bestFit="1" customWidth="1"/>
    <col min="7" max="7" width="17.42578125" bestFit="1" customWidth="1"/>
    <col min="8" max="8" width="16.28515625" bestFit="1" customWidth="1"/>
    <col min="9" max="9" width="25.140625" bestFit="1" customWidth="1"/>
    <col min="27" max="28" width="13.85546875" hidden="1" customWidth="1"/>
    <col min="29" max="29" width="0" hidden="1" customWidth="1"/>
    <col min="30" max="31" width="22.42578125" hidden="1" customWidth="1"/>
    <col min="32" max="32" width="0" hidden="1" customWidth="1"/>
    <col min="33" max="34" width="21.140625" hidden="1" customWidth="1"/>
    <col min="35" max="35" width="0" hidden="1" customWidth="1"/>
    <col min="36" max="36" width="15.140625" hidden="1" customWidth="1"/>
    <col min="37" max="38" width="17.28515625" hidden="1" customWidth="1"/>
    <col min="39" max="39" width="0" hidden="1" customWidth="1"/>
    <col min="40" max="40" width="10.5703125" hidden="1" customWidth="1"/>
    <col min="41" max="41" width="22.42578125" hidden="1" customWidth="1"/>
  </cols>
  <sheetData>
    <row r="1" spans="1:41" ht="36" x14ac:dyDescent="0.55000000000000004">
      <c r="A1" s="16" t="s">
        <v>63</v>
      </c>
      <c r="B1" s="16"/>
      <c r="C1" s="16"/>
      <c r="D1" s="16"/>
      <c r="AA1" t="s">
        <v>106</v>
      </c>
      <c r="AB1" t="s">
        <v>114</v>
      </c>
      <c r="AD1" t="s">
        <v>107</v>
      </c>
      <c r="AE1" t="s">
        <v>110</v>
      </c>
      <c r="AG1" t="s">
        <v>108</v>
      </c>
      <c r="AH1" t="s">
        <v>111</v>
      </c>
      <c r="AJ1" t="s">
        <v>109</v>
      </c>
      <c r="AK1" t="s">
        <v>112</v>
      </c>
      <c r="AL1" t="s">
        <v>115</v>
      </c>
      <c r="AN1" t="s">
        <v>89</v>
      </c>
      <c r="AO1" t="s">
        <v>113</v>
      </c>
    </row>
    <row r="2" spans="1:41" x14ac:dyDescent="0.25">
      <c r="AA2" t="e" cm="1" vm="1">
        <f t="array" ref="AA2">_xlfn._xlws.SORT(_xlfn.UNIQUE(_xlfn._xlws.FILTER(HseOpt[3-Car Garage],HseOpt[House Base]=$B$13)))</f>
        <v>#VALUE!</v>
      </c>
      <c r="AB2" t="e" cm="1" vm="1">
        <f t="array" ref="AB2">_xlfn._xlws.SORT(_xlfn.UNIQUE(_xlfn._xlws.FILTER(HseOpt[G Additional Width],HseOpt[House Base]=$B$13)))</f>
        <v>#VALUE!</v>
      </c>
      <c r="AD2" t="e" cm="1" vm="1">
        <f t="array" ref="AD2">_xlfn._xlws.SORT(_xlfn.UNIQUE(_xlfn._xlws.FILTER(HseOpt[Right Side Bump],HseOpt[House Base]=$B$13)))</f>
        <v>#VALUE!</v>
      </c>
      <c r="AE2" t="e" cm="1" vm="1">
        <f t="array" ref="AE2">_xlfn._xlws.SORT(_xlfn.UNIQUE(_xlfn._xlws.FILTER(HseOpt[R Additional Width],HseOpt[House Base]=$B$13)))</f>
        <v>#VALUE!</v>
      </c>
      <c r="AG2" t="e" cm="1" vm="1">
        <f t="array" ref="AG2">_xlfn._xlws.SORT(_xlfn.UNIQUE(_xlfn._xlws.FILTER(HseOpt[Left Side Bump],HseOpt[House Base]=$B$13)))</f>
        <v>#VALUE!</v>
      </c>
      <c r="AH2" t="e" cm="1" vm="1">
        <f t="array" ref="AH2">_xlfn._xlws.SORT(_xlfn.UNIQUE(_xlfn._xlws.FILTER(HseOpt[L Additional Width],HseOpt[House Base]=$B$13)))</f>
        <v>#VALUE!</v>
      </c>
      <c r="AJ2" t="e" cm="1" vm="1">
        <f t="array" ref="AJ2">_xlfn._xlws.SORT(_xlfn.UNIQUE(_xlfn._xlws.FILTER(HseOpt[Patio Extension],HseOpt[House Base]=$B$13)))</f>
        <v>#VALUE!</v>
      </c>
      <c r="AK2" t="e" cm="1" vm="1">
        <f t="array" ref="AK2">_xlfn._xlws.SORT(_xlfn.UNIQUE(_xlfn._xlws.FILTER(HseOpt[P Additional Width],HseOpt[House Base]=$B$13)))</f>
        <v>#VALUE!</v>
      </c>
      <c r="AL2" t="e" cm="1" vm="1">
        <f t="array" ref="AL2">_xlfn._xlws.SORT(_xlfn.UNIQUE(_xlfn._xlws.FILTER(HseOpt[Patio Side],HseOpt[House Base]=$B$13)))</f>
        <v>#VALUE!</v>
      </c>
      <c r="AN2" t="e" cm="1" vm="1">
        <f t="array" ref="AN2">_xlfn._xlws.SORT(_xlfn.UNIQUE(_xlfn._xlws.FILTER(HseOpt[Rear bump],HseOpt[House Base]=$B$13)))</f>
        <v>#VALUE!</v>
      </c>
      <c r="AO2" t="e" cm="1" vm="1">
        <f t="array" ref="AO2">_xlfn._xlws.SORT(_xlfn.UNIQUE(_xlfn._xlws.FILTER(HseOpt[R Additional Depth],HseOpt[House Base]=$B$13)))</f>
        <v>#VALUE!</v>
      </c>
    </row>
    <row r="3" spans="1:41" ht="18.75" x14ac:dyDescent="0.3">
      <c r="B3" s="17" t="s">
        <v>1</v>
      </c>
      <c r="C3" s="17"/>
      <c r="E3" s="11" t="s">
        <v>14</v>
      </c>
      <c r="F3" s="11" t="s">
        <v>81</v>
      </c>
      <c r="G3" s="11" t="s">
        <v>10</v>
      </c>
      <c r="H3" s="11" t="s">
        <v>11</v>
      </c>
      <c r="I3" s="11" t="s">
        <v>80</v>
      </c>
    </row>
    <row r="4" spans="1:41" x14ac:dyDescent="0.25">
      <c r="B4" s="18">
        <v>1</v>
      </c>
      <c r="C4" s="18"/>
      <c r="E4" s="1" t="str">
        <f>_xlfn.XLOOKUP(B4,LotDet[Lot Number],LotDet[Available],"Not Found",0,1)</f>
        <v>Yes</v>
      </c>
      <c r="F4" s="1" t="str">
        <f>_xlfn.XLOOKUP(B4,LotDet[Lot Number],LotDet[Sale Status],"Not Found",0,1)</f>
        <v>Available</v>
      </c>
      <c r="G4" s="1" t="str">
        <f>_xlfn.XLOOKUP(B4,LotDet[Lot Number],LotDet[Cul de Sac],"Not Found",0,1)</f>
        <v>No</v>
      </c>
      <c r="H4" s="1" t="str">
        <f>_xlfn.XLOOKUP(B4,LotDet[Lot Number],LotDet[Corner],"Not Found",0,1)</f>
        <v>No</v>
      </c>
      <c r="I4" s="1" t="str">
        <f>_xlfn.XLOOKUP(B4,LotDet[Lot Number],LotDet[Cardinal Direction],"Not Found",0,1)</f>
        <v>East</v>
      </c>
    </row>
    <row r="5" spans="1:41" x14ac:dyDescent="0.25">
      <c r="B5" s="1"/>
      <c r="C5" s="1"/>
      <c r="E5" s="13" t="str">
        <f>IF(F4="Available","",IF(F4="Sold","","Date Available:"))</f>
        <v/>
      </c>
      <c r="F5" s="6" t="str">
        <f>IF(F4="Available","",IF(F4="Sold","",_xlfn.XLOOKUP(B4,LotDet[Lot Number],LotDet[Date Hold Ends])))</f>
        <v/>
      </c>
    </row>
    <row r="6" spans="1:41" ht="19.5" customHeight="1" x14ac:dyDescent="0.35">
      <c r="B6" s="17" t="s">
        <v>116</v>
      </c>
      <c r="C6" s="17"/>
      <c r="E6" s="19" t="s">
        <v>24</v>
      </c>
      <c r="F6" s="19"/>
      <c r="G6" s="19"/>
      <c r="H6" s="19"/>
      <c r="I6" s="19"/>
    </row>
    <row r="7" spans="1:41" ht="15.75" x14ac:dyDescent="0.25">
      <c r="B7" s="5" t="s">
        <v>70</v>
      </c>
      <c r="C7" s="5" t="s">
        <v>71</v>
      </c>
      <c r="D7" s="3"/>
      <c r="E7" s="5" t="s">
        <v>25</v>
      </c>
      <c r="F7" s="5" t="s">
        <v>26</v>
      </c>
      <c r="G7" s="5" t="s">
        <v>27</v>
      </c>
      <c r="H7" s="5" t="s">
        <v>28</v>
      </c>
      <c r="I7" s="5" t="s">
        <v>29</v>
      </c>
    </row>
    <row r="8" spans="1:41" x14ac:dyDescent="0.25">
      <c r="B8" s="1">
        <f>_xlfn.XLOOKUP(B4,LotDet[Lot Number],LotDet[Min Width (ft)],"Not Found",0,1)</f>
        <v>53</v>
      </c>
      <c r="C8" s="1">
        <f>_xlfn.XLOOKUP(B4,LotDet[Lot Number],LotDet[Min Depth (ft)],"Not Found",0,1)</f>
        <v>80</v>
      </c>
      <c r="E8" s="1">
        <f>_xlfn.XLOOKUP(B4,LotDet[Lot Number],LotDet[Street Number],"Not Found",0,1)</f>
        <v>1234</v>
      </c>
      <c r="F8" s="1" t="str">
        <f>_xlfn.XLOOKUP(B4,LotDet[Lot Number],LotDet[Street Name],"Not Found",0,1)</f>
        <v>Woodland Lane</v>
      </c>
      <c r="G8" s="1" t="str">
        <f>_xlfn.XLOOKUP(B4,LotDet[Lot Number],LotDet[City],"Not Found",0,1)</f>
        <v>TWP</v>
      </c>
      <c r="H8" s="1" t="str">
        <f>_xlfn.XLOOKUP(B4,LotDet[Lot Number],LotDet[State],"Not Found",0,1)</f>
        <v>Ohio</v>
      </c>
      <c r="I8" s="7">
        <f>_xlfn.XLOOKUP(B4,LotDet[Lot Number],LotDet[Zip],"Not Found",0,1)</f>
        <v>12345</v>
      </c>
    </row>
    <row r="10" spans="1:41" ht="21" x14ac:dyDescent="0.35">
      <c r="B10" s="12" t="s">
        <v>72</v>
      </c>
      <c r="E10" s="12" t="s">
        <v>75</v>
      </c>
      <c r="F10" s="2" t="str">
        <f>IF(AND(B19&lt;=B8,C19&lt;=C8),"Yes","No")</f>
        <v>Yes</v>
      </c>
    </row>
    <row r="12" spans="1:41" ht="15.75" x14ac:dyDescent="0.25">
      <c r="B12" s="15" t="s">
        <v>13</v>
      </c>
      <c r="C12" s="15"/>
      <c r="E12" s="4" t="s">
        <v>105</v>
      </c>
      <c r="F12" s="5"/>
      <c r="G12" s="5"/>
    </row>
    <row r="13" spans="1:41" x14ac:dyDescent="0.25">
      <c r="B13" s="18"/>
      <c r="C13" s="18"/>
      <c r="E13" s="13"/>
      <c r="F13" s="10" t="s">
        <v>35</v>
      </c>
      <c r="G13" s="10" t="str">
        <f>IF(OR(F15="Yes",F18="Yes",F21="Yes",F24="Yes",F27="Yes"),"Dimension Option","")</f>
        <v/>
      </c>
      <c r="H13" s="10" t="str">
        <f>IF(OR(F15="Yes",F18="Yes",F21="Yes",F24="Yes",F27="Yes"),"Side of House","")</f>
        <v/>
      </c>
      <c r="I13" s="10" t="str">
        <f>IF(OR(F18="Yes",F21="Yes",F24="Yes"),"Behind Garage?","")</f>
        <v/>
      </c>
    </row>
    <row r="14" spans="1:41" ht="15.75" x14ac:dyDescent="0.25">
      <c r="B14" s="15" t="s">
        <v>73</v>
      </c>
      <c r="C14" s="15"/>
      <c r="E14" s="13" t="s">
        <v>44</v>
      </c>
    </row>
    <row r="15" spans="1:41" x14ac:dyDescent="0.25">
      <c r="B15" s="10" t="s">
        <v>70</v>
      </c>
      <c r="C15" s="10" t="s">
        <v>71</v>
      </c>
      <c r="E15" s="13"/>
      <c r="F15" s="14"/>
      <c r="G15" s="1" t="str">
        <f>IF(F15="Yes",_xlfn.XLOOKUP(B13,BaseHouse[House Base],BaseHouse[3-Car Dim],,0,1),"")</f>
        <v/>
      </c>
      <c r="H15" s="1" t="str">
        <f>IF(F15="Yes",_xlfn.XLOOKUP(B13,BaseHouse[House Base],BaseHouse[3-Car Side],,0,1),"")</f>
        <v/>
      </c>
    </row>
    <row r="16" spans="1:41" x14ac:dyDescent="0.25">
      <c r="B16" s="1" t="str">
        <f>_xlfn.XLOOKUP(B13,BaseHouse[House Base],BaseHouse[Width (ft)],"",0,1)</f>
        <v/>
      </c>
      <c r="C16" s="1" t="str">
        <f>_xlfn.XLOOKUP(B13,BaseHouse[House Base],BaseHouse[Depth (ft)],"",0,1)</f>
        <v/>
      </c>
      <c r="G16" s="1"/>
      <c r="H16" s="1"/>
    </row>
    <row r="17" spans="2:9" x14ac:dyDescent="0.25">
      <c r="E17" s="13" t="s">
        <v>88</v>
      </c>
      <c r="F17" s="1"/>
      <c r="G17" s="1"/>
      <c r="H17" s="1"/>
    </row>
    <row r="18" spans="2:9" ht="15.75" x14ac:dyDescent="0.25">
      <c r="B18" s="15" t="s">
        <v>74</v>
      </c>
      <c r="C18" s="15"/>
      <c r="E18" s="13"/>
      <c r="F18" s="14"/>
      <c r="G18" s="1"/>
      <c r="H18" s="1" t="str">
        <f>IF(F18="Yes","Right","")</f>
        <v/>
      </c>
      <c r="I18" s="1" t="str">
        <f>IF($F18="Yes",IF($H18=$H$15,"Yes","No"),"")</f>
        <v/>
      </c>
    </row>
    <row r="19" spans="2:9" x14ac:dyDescent="0.25">
      <c r="B19" s="1">
        <f>SUM(B16,IF(F15="Yes",G15,),IF(AND(F18="Yes",I18="No"),G18,),IF(AND(F21="Yes",I21="No"),G21,),IF(AND(F24="Yes",I24="No"),G24,))</f>
        <v>0</v>
      </c>
      <c r="C19" s="1">
        <f>SUM(C16,IF(F27="Yes",G27,))</f>
        <v>0</v>
      </c>
      <c r="G19" s="1"/>
      <c r="H19" s="1"/>
    </row>
    <row r="20" spans="2:9" x14ac:dyDescent="0.25">
      <c r="E20" s="13" t="s">
        <v>86</v>
      </c>
      <c r="F20" s="1"/>
      <c r="G20" s="1"/>
      <c r="H20" s="1"/>
    </row>
    <row r="21" spans="2:9" x14ac:dyDescent="0.25">
      <c r="F21" s="14"/>
      <c r="G21" s="1"/>
      <c r="H21" s="1" t="str">
        <f>IF(F21="Yes","Left","")</f>
        <v/>
      </c>
      <c r="I21" s="1" t="str">
        <f>IF($F21="Yes",IF($H21=$H$15,"Yes","No"),"")</f>
        <v/>
      </c>
    </row>
    <row r="22" spans="2:9" x14ac:dyDescent="0.25">
      <c r="G22" s="1"/>
      <c r="H22" s="1"/>
    </row>
    <row r="23" spans="2:9" x14ac:dyDescent="0.25">
      <c r="E23" s="13" t="s">
        <v>90</v>
      </c>
      <c r="F23" s="1"/>
      <c r="G23" s="1"/>
      <c r="H23" s="1"/>
    </row>
    <row r="24" spans="2:9" x14ac:dyDescent="0.25">
      <c r="F24" s="14"/>
      <c r="G24" s="1"/>
      <c r="H24" s="1"/>
      <c r="I24" s="1" t="str">
        <f>IF($F24="Yes",IF($H24=$H$15,"Yes","No"),"")</f>
        <v/>
      </c>
    </row>
    <row r="25" spans="2:9" x14ac:dyDescent="0.25">
      <c r="G25" s="1"/>
      <c r="H25" s="1"/>
    </row>
    <row r="26" spans="2:9" x14ac:dyDescent="0.25">
      <c r="E26" s="13" t="s">
        <v>89</v>
      </c>
      <c r="F26" s="1"/>
      <c r="G26" s="1"/>
      <c r="H26" s="1"/>
    </row>
    <row r="27" spans="2:9" x14ac:dyDescent="0.25">
      <c r="F27" s="14"/>
      <c r="G27" s="1"/>
      <c r="H27" s="1" t="str">
        <f>IF(F27="Yes","N/A","")</f>
        <v/>
      </c>
    </row>
  </sheetData>
  <mergeCells count="9">
    <mergeCell ref="B18:C18"/>
    <mergeCell ref="A1:D1"/>
    <mergeCell ref="B3:C3"/>
    <mergeCell ref="B4:C4"/>
    <mergeCell ref="E6:I6"/>
    <mergeCell ref="B6:C6"/>
    <mergeCell ref="B12:C12"/>
    <mergeCell ref="B13:C13"/>
    <mergeCell ref="B14:C14"/>
  </mergeCells>
  <conditionalFormatting sqref="E4">
    <cfRule type="cellIs" dxfId="10" priority="14" operator="equal">
      <formula>"Yes"</formula>
    </cfRule>
    <cfRule type="cellIs" dxfId="9" priority="15" operator="equal">
      <formula>"No"</formula>
    </cfRule>
  </conditionalFormatting>
  <conditionalFormatting sqref="F10">
    <cfRule type="cellIs" dxfId="8" priority="16" operator="equal">
      <formula>"Yes"</formula>
    </cfRule>
    <cfRule type="cellIs" dxfId="7" priority="17" operator="equal">
      <formula>"No"</formula>
    </cfRule>
  </conditionalFormatting>
  <conditionalFormatting sqref="G18">
    <cfRule type="expression" dxfId="6" priority="5">
      <formula>$F$18="Yes"</formula>
    </cfRule>
  </conditionalFormatting>
  <conditionalFormatting sqref="G21">
    <cfRule type="expression" dxfId="5" priority="4">
      <formula>$F$21="Yes"</formula>
    </cfRule>
  </conditionalFormatting>
  <conditionalFormatting sqref="G27">
    <cfRule type="expression" dxfId="4" priority="2">
      <formula>$F$27="Yes"</formula>
    </cfRule>
  </conditionalFormatting>
  <conditionalFormatting sqref="G24:H24">
    <cfRule type="expression" dxfId="3" priority="1">
      <formula>$F$24="Yes"</formula>
    </cfRule>
  </conditionalFormatting>
  <dataValidations count="12">
    <dataValidation type="list" allowBlank="1" showInputMessage="1" showErrorMessage="1" sqref="B4:B5" xr:uid="{B0CA8483-CB32-42DB-999E-BAFBF20FDB38}">
      <formula1>INDIRECT("LotDet[Lot Number]")</formula1>
    </dataValidation>
    <dataValidation type="list" allowBlank="1" showInputMessage="1" showErrorMessage="1" sqref="B13" xr:uid="{98AD41F8-D26E-4A77-A9B0-69001DEE5483}">
      <formula1>INDIRECT("HouseTypes[House Base]")</formula1>
    </dataValidation>
    <dataValidation type="list" allowBlank="1" showInputMessage="1" showErrorMessage="1" sqref="F15" xr:uid="{E193C494-28D7-4AB6-9FE1-0CC8C05665D9}">
      <formula1>_xlfn.ANCHORARRAY($AA$2)</formula1>
    </dataValidation>
    <dataValidation type="list" allowBlank="1" showInputMessage="1" showErrorMessage="1" sqref="F18" xr:uid="{84381159-B290-4534-A5F1-6EFF3AC953D3}">
      <formula1>_xlfn.ANCHORARRAY($AD$2)</formula1>
    </dataValidation>
    <dataValidation type="list" allowBlank="1" showInputMessage="1" showErrorMessage="1" sqref="F21" xr:uid="{F8D3F117-A28B-4185-8C5C-C46733D57D79}">
      <formula1>_xlfn.ANCHORARRAY($AG$2)</formula1>
    </dataValidation>
    <dataValidation type="list" allowBlank="1" showInputMessage="1" showErrorMessage="1" sqref="F24" xr:uid="{A99608A3-5222-40D2-B86A-C46E46DB1C24}">
      <formula1>_xlfn.ANCHORARRAY($AJ$2)</formula1>
    </dataValidation>
    <dataValidation type="list" allowBlank="1" showInputMessage="1" showErrorMessage="1" sqref="F27" xr:uid="{3AEE92FE-B0E2-4766-821A-FDCB253A026A}">
      <formula1>_xlfn.ANCHORARRAY($AN$2)</formula1>
    </dataValidation>
    <dataValidation type="list" allowBlank="1" showInputMessage="1" showErrorMessage="1" sqref="G18" xr:uid="{F915B4D6-B81F-4630-AA5F-E0B3E66988AB}">
      <formula1>_xlfn.ANCHORARRAY($AE$2)</formula1>
    </dataValidation>
    <dataValidation type="list" allowBlank="1" showInputMessage="1" showErrorMessage="1" sqref="G21" xr:uid="{09EFA48C-8D23-4AC1-B682-9E85C7C09206}">
      <formula1>_xlfn.ANCHORARRAY($AH$2)</formula1>
    </dataValidation>
    <dataValidation type="list" allowBlank="1" showInputMessage="1" showErrorMessage="1" sqref="G24" xr:uid="{8F9435D8-E473-4E9C-8B70-542290555BD3}">
      <formula1>$AK$2</formula1>
    </dataValidation>
    <dataValidation type="list" allowBlank="1" showInputMessage="1" showErrorMessage="1" sqref="G27" xr:uid="{6D97B83A-B925-44A2-9C35-6E4EAD547774}">
      <formula1>_xlfn.ANCHORARRAY($AO$2)</formula1>
    </dataValidation>
    <dataValidation type="list" allowBlank="1" showInputMessage="1" showErrorMessage="1" sqref="H24" xr:uid="{947D8EEE-4A2C-41EA-8F8B-01CFF1CB28DE}">
      <formula1>_xlfn.ANCHORARRAY($AL$2)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B32E-04B5-4BF9-A805-95ECE0CE10E7}">
  <sheetPr>
    <tabColor rgb="FFFF0000"/>
  </sheetPr>
  <dimension ref="A1:V63"/>
  <sheetViews>
    <sheetView workbookViewId="0">
      <pane xSplit="1" topLeftCell="B1" activePane="topRight" state="frozen"/>
      <selection pane="topRight" activeCell="A6" sqref="A6"/>
    </sheetView>
  </sheetViews>
  <sheetFormatPr defaultRowHeight="15" x14ac:dyDescent="0.25"/>
  <cols>
    <col min="1" max="1" width="17.28515625" bestFit="1" customWidth="1"/>
    <col min="2" max="2" width="20.28515625" bestFit="1" customWidth="1"/>
    <col min="3" max="3" width="18" bestFit="1" customWidth="1"/>
    <col min="4" max="6" width="14.28515625" customWidth="1"/>
    <col min="7" max="7" width="20.140625" bestFit="1" customWidth="1"/>
    <col min="8" max="8" width="19.85546875" bestFit="1" customWidth="1"/>
    <col min="9" max="9" width="20" bestFit="1" customWidth="1"/>
    <col min="10" max="10" width="19.7109375" bestFit="1" customWidth="1"/>
    <col min="11" max="11" width="15.42578125" bestFit="1" customWidth="1"/>
    <col min="12" max="12" width="15.5703125" customWidth="1"/>
    <col min="13" max="13" width="23.42578125" bestFit="1" customWidth="1"/>
    <col min="14" max="14" width="16.28515625" bestFit="1" customWidth="1"/>
    <col min="15" max="15" width="18.140625" bestFit="1" customWidth="1"/>
    <col min="16" max="16" width="25.140625" bestFit="1" customWidth="1"/>
    <col min="17" max="18" width="29.7109375" bestFit="1" customWidth="1"/>
    <col min="19" max="19" width="18.28515625" bestFit="1" customWidth="1"/>
    <col min="20" max="20" width="16.5703125" bestFit="1" customWidth="1"/>
    <col min="21" max="21" width="25.85546875" customWidth="1"/>
    <col min="22" max="22" width="12.140625" bestFit="1" customWidth="1"/>
  </cols>
  <sheetData>
    <row r="1" spans="1:22" ht="36" x14ac:dyDescent="0.55000000000000004">
      <c r="A1" s="16" t="s">
        <v>0</v>
      </c>
      <c r="B1" s="16"/>
      <c r="C1" s="16"/>
      <c r="D1" s="16"/>
      <c r="E1" s="16"/>
      <c r="F1" s="16"/>
      <c r="G1" s="16"/>
      <c r="H1" s="16"/>
    </row>
    <row r="2" spans="1:22" x14ac:dyDescent="0.25">
      <c r="A2" s="8"/>
      <c r="B2" s="8"/>
      <c r="C2" s="8"/>
      <c r="D2" s="8"/>
      <c r="E2" s="8"/>
      <c r="F2" s="8"/>
      <c r="G2" s="8"/>
      <c r="H2" s="8"/>
    </row>
    <row r="3" spans="1:22" ht="26.25" x14ac:dyDescent="0.4">
      <c r="A3" s="20" t="s">
        <v>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 t="s">
        <v>34</v>
      </c>
      <c r="N3" s="20"/>
      <c r="O3" s="20"/>
      <c r="P3" s="20"/>
      <c r="Q3" s="20"/>
      <c r="R3" s="20"/>
      <c r="S3" s="20"/>
      <c r="T3" s="20"/>
      <c r="U3" s="20"/>
    </row>
    <row r="4" spans="1:22" ht="21" x14ac:dyDescent="0.35">
      <c r="B4" s="19" t="s">
        <v>24</v>
      </c>
      <c r="C4" s="19"/>
      <c r="D4" s="19"/>
      <c r="E4" s="19"/>
      <c r="F4" s="19"/>
      <c r="G4" s="19" t="s">
        <v>30</v>
      </c>
      <c r="H4" s="19"/>
      <c r="I4" s="19"/>
      <c r="J4" s="19"/>
      <c r="K4" s="19" t="s">
        <v>32</v>
      </c>
      <c r="L4" s="19"/>
      <c r="M4" s="19"/>
      <c r="N4" s="19" t="s">
        <v>31</v>
      </c>
      <c r="O4" s="19"/>
      <c r="P4" s="19"/>
      <c r="Q4" s="19"/>
      <c r="R4" s="19"/>
      <c r="S4" s="19" t="s">
        <v>33</v>
      </c>
      <c r="T4" s="19"/>
      <c r="U4" s="19"/>
    </row>
    <row r="5" spans="1:22" ht="15.75" x14ac:dyDescent="0.25">
      <c r="A5" s="5" t="s">
        <v>1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64</v>
      </c>
      <c r="N5" s="5" t="s">
        <v>5</v>
      </c>
      <c r="O5" s="5" t="s">
        <v>14</v>
      </c>
      <c r="P5" s="5" t="s">
        <v>16</v>
      </c>
      <c r="Q5" s="5" t="s">
        <v>18</v>
      </c>
      <c r="R5" s="5" t="s">
        <v>17</v>
      </c>
      <c r="S5" s="5" t="s">
        <v>3</v>
      </c>
      <c r="T5" s="5" t="s">
        <v>12</v>
      </c>
      <c r="U5" s="5" t="s">
        <v>13</v>
      </c>
      <c r="V5" s="5" t="s">
        <v>4</v>
      </c>
    </row>
    <row r="6" spans="1:22" x14ac:dyDescent="0.25">
      <c r="A6" s="1">
        <v>1</v>
      </c>
      <c r="B6" s="1">
        <v>1234</v>
      </c>
      <c r="C6" s="1" t="s">
        <v>117</v>
      </c>
      <c r="D6" s="1" t="s">
        <v>120</v>
      </c>
      <c r="E6" s="1" t="s">
        <v>82</v>
      </c>
      <c r="F6" s="7">
        <v>12345</v>
      </c>
      <c r="G6" s="1">
        <v>53</v>
      </c>
      <c r="H6" s="1">
        <v>53</v>
      </c>
      <c r="I6" s="1">
        <v>80</v>
      </c>
      <c r="J6" s="1">
        <v>80</v>
      </c>
      <c r="K6" s="1" t="s">
        <v>37</v>
      </c>
      <c r="L6" s="1" t="s">
        <v>37</v>
      </c>
      <c r="M6" s="1" t="s">
        <v>68</v>
      </c>
      <c r="N6" s="1" t="s">
        <v>14</v>
      </c>
      <c r="O6" s="1" t="str">
        <f>IF(N6="Available","Yes","No")</f>
        <v>Yes</v>
      </c>
      <c r="P6" s="6">
        <v>45348</v>
      </c>
      <c r="Q6" s="6">
        <f>DATE(YEAR(P6),MONTH(P6),DAY(P6)+30)</f>
        <v>45378</v>
      </c>
      <c r="R6" s="1">
        <f ca="1">MAX(0,Q6-TODAY())</f>
        <v>0</v>
      </c>
      <c r="S6" s="6"/>
      <c r="T6" s="9"/>
      <c r="U6" s="1"/>
      <c r="V6" s="1"/>
    </row>
    <row r="7" spans="1:22" x14ac:dyDescent="0.25">
      <c r="A7" s="1">
        <v>2</v>
      </c>
      <c r="B7" s="1"/>
      <c r="C7" s="1"/>
      <c r="D7" s="1"/>
      <c r="E7" s="1"/>
      <c r="F7" s="7"/>
      <c r="G7" s="1">
        <v>53</v>
      </c>
      <c r="H7" s="1">
        <v>53</v>
      </c>
      <c r="I7" s="1">
        <v>80</v>
      </c>
      <c r="J7" s="1">
        <v>80</v>
      </c>
      <c r="K7" s="1" t="s">
        <v>37</v>
      </c>
      <c r="L7" s="1" t="s">
        <v>37</v>
      </c>
      <c r="M7" s="1" t="s">
        <v>68</v>
      </c>
      <c r="N7" s="1" t="s">
        <v>14</v>
      </c>
      <c r="O7" s="1" t="str">
        <f t="shared" ref="O7:O62" si="0">IF(N7="Available","Yes","No")</f>
        <v>Yes</v>
      </c>
      <c r="P7" s="6"/>
      <c r="Q7" s="6">
        <f t="shared" ref="Q7:Q63" si="1">DATE(YEAR(P7),MONTH(P7),DAY(P7)+30)</f>
        <v>30</v>
      </c>
      <c r="R7" s="1">
        <f t="shared" ref="R7:R63" ca="1" si="2">MAX(0,Q7-TODAY())</f>
        <v>0</v>
      </c>
      <c r="S7" s="6"/>
      <c r="T7" s="9"/>
      <c r="U7" s="1"/>
      <c r="V7" s="1"/>
    </row>
    <row r="8" spans="1:22" x14ac:dyDescent="0.25">
      <c r="A8" s="1">
        <v>3</v>
      </c>
      <c r="B8" s="1"/>
      <c r="C8" s="1"/>
      <c r="D8" s="1"/>
      <c r="E8" s="1"/>
      <c r="F8" s="7"/>
      <c r="G8" s="1">
        <v>53</v>
      </c>
      <c r="H8" s="1">
        <v>53</v>
      </c>
      <c r="I8" s="1">
        <v>80</v>
      </c>
      <c r="J8" s="1">
        <v>80</v>
      </c>
      <c r="K8" s="1" t="s">
        <v>37</v>
      </c>
      <c r="L8" s="1" t="s">
        <v>37</v>
      </c>
      <c r="M8" s="1" t="s">
        <v>68</v>
      </c>
      <c r="N8" s="1" t="s">
        <v>14</v>
      </c>
      <c r="O8" s="1" t="str">
        <f t="shared" si="0"/>
        <v>Yes</v>
      </c>
      <c r="P8" s="6"/>
      <c r="Q8" s="6">
        <f t="shared" si="1"/>
        <v>30</v>
      </c>
      <c r="R8" s="1">
        <f t="shared" ca="1" si="2"/>
        <v>0</v>
      </c>
      <c r="S8" s="6"/>
      <c r="T8" s="9"/>
      <c r="U8" s="1"/>
      <c r="V8" s="1"/>
    </row>
    <row r="9" spans="1:22" x14ac:dyDescent="0.25">
      <c r="A9" s="1">
        <v>4</v>
      </c>
      <c r="B9" s="1"/>
      <c r="C9" s="1"/>
      <c r="D9" s="1"/>
      <c r="E9" s="1"/>
      <c r="F9" s="7"/>
      <c r="G9" s="1">
        <v>53</v>
      </c>
      <c r="H9" s="1">
        <v>53</v>
      </c>
      <c r="I9" s="1">
        <v>80</v>
      </c>
      <c r="J9" s="1">
        <v>80</v>
      </c>
      <c r="K9" s="1" t="s">
        <v>37</v>
      </c>
      <c r="L9" s="1" t="s">
        <v>37</v>
      </c>
      <c r="M9" s="1" t="s">
        <v>68</v>
      </c>
      <c r="N9" s="1" t="s">
        <v>14</v>
      </c>
      <c r="O9" s="1" t="str">
        <f t="shared" si="0"/>
        <v>Yes</v>
      </c>
      <c r="P9" s="6"/>
      <c r="Q9" s="6">
        <f t="shared" si="1"/>
        <v>30</v>
      </c>
      <c r="R9" s="1">
        <f t="shared" ca="1" si="2"/>
        <v>0</v>
      </c>
      <c r="S9" s="6"/>
      <c r="T9" s="9"/>
      <c r="U9" s="1"/>
      <c r="V9" s="1"/>
    </row>
    <row r="10" spans="1:22" x14ac:dyDescent="0.25">
      <c r="A10" s="1">
        <v>5</v>
      </c>
      <c r="B10" s="1"/>
      <c r="C10" s="1"/>
      <c r="D10" s="1"/>
      <c r="E10" s="1"/>
      <c r="F10" s="7"/>
      <c r="G10" s="1">
        <v>53</v>
      </c>
      <c r="H10" s="1">
        <v>53</v>
      </c>
      <c r="I10" s="1">
        <v>80</v>
      </c>
      <c r="J10" s="1">
        <v>80</v>
      </c>
      <c r="K10" s="1" t="s">
        <v>37</v>
      </c>
      <c r="L10" s="1" t="s">
        <v>37</v>
      </c>
      <c r="M10" s="1" t="s">
        <v>68</v>
      </c>
      <c r="N10" s="1" t="s">
        <v>14</v>
      </c>
      <c r="O10" s="1" t="str">
        <f t="shared" si="0"/>
        <v>Yes</v>
      </c>
      <c r="P10" s="6"/>
      <c r="Q10" s="6">
        <f t="shared" si="1"/>
        <v>30</v>
      </c>
      <c r="R10" s="1">
        <f t="shared" ca="1" si="2"/>
        <v>0</v>
      </c>
      <c r="S10" s="6"/>
      <c r="T10" s="9"/>
      <c r="U10" s="1"/>
      <c r="V10" s="1"/>
    </row>
    <row r="11" spans="1:22" x14ac:dyDescent="0.25">
      <c r="A11" s="1">
        <v>6</v>
      </c>
      <c r="B11" s="1"/>
      <c r="C11" s="1"/>
      <c r="D11" s="1"/>
      <c r="E11" s="1"/>
      <c r="F11" s="7"/>
      <c r="G11" s="1">
        <v>53</v>
      </c>
      <c r="H11" s="1">
        <v>53</v>
      </c>
      <c r="I11" s="1">
        <v>80</v>
      </c>
      <c r="J11" s="1">
        <v>80</v>
      </c>
      <c r="K11" s="1" t="s">
        <v>37</v>
      </c>
      <c r="L11" s="1" t="s">
        <v>37</v>
      </c>
      <c r="M11" s="1" t="s">
        <v>68</v>
      </c>
      <c r="N11" s="1" t="s">
        <v>14</v>
      </c>
      <c r="O11" s="1" t="str">
        <f t="shared" si="0"/>
        <v>Yes</v>
      </c>
      <c r="P11" s="6"/>
      <c r="Q11" s="6">
        <f t="shared" si="1"/>
        <v>30</v>
      </c>
      <c r="R11" s="1">
        <f t="shared" ca="1" si="2"/>
        <v>0</v>
      </c>
      <c r="S11" s="6"/>
      <c r="T11" s="9"/>
      <c r="U11" s="1"/>
      <c r="V11" s="1"/>
    </row>
    <row r="12" spans="1:22" x14ac:dyDescent="0.25">
      <c r="A12" s="1">
        <v>7</v>
      </c>
      <c r="B12" s="1"/>
      <c r="C12" s="1"/>
      <c r="D12" s="1"/>
      <c r="E12" s="1"/>
      <c r="F12" s="7"/>
      <c r="G12" s="1">
        <v>49</v>
      </c>
      <c r="H12" s="1">
        <v>45</v>
      </c>
      <c r="I12" s="1">
        <v>99</v>
      </c>
      <c r="J12" s="1">
        <v>94</v>
      </c>
      <c r="K12" s="1" t="s">
        <v>37</v>
      </c>
      <c r="L12" s="1" t="s">
        <v>36</v>
      </c>
      <c r="M12" s="1" t="s">
        <v>68</v>
      </c>
      <c r="N12" s="1" t="s">
        <v>14</v>
      </c>
      <c r="O12" s="1" t="str">
        <f t="shared" si="0"/>
        <v>Yes</v>
      </c>
      <c r="P12" s="6"/>
      <c r="Q12" s="6">
        <f t="shared" si="1"/>
        <v>30</v>
      </c>
      <c r="R12" s="1">
        <f t="shared" ca="1" si="2"/>
        <v>0</v>
      </c>
      <c r="S12" s="6"/>
      <c r="T12" s="9"/>
      <c r="U12" s="1"/>
      <c r="V12" s="1"/>
    </row>
    <row r="13" spans="1:22" x14ac:dyDescent="0.25">
      <c r="A13" s="1">
        <v>8</v>
      </c>
      <c r="B13" s="1"/>
      <c r="C13" s="1"/>
      <c r="D13" s="1"/>
      <c r="E13" s="1"/>
      <c r="F13" s="7"/>
      <c r="G13" s="1">
        <v>61</v>
      </c>
      <c r="H13" s="1">
        <v>47</v>
      </c>
      <c r="I13" s="1">
        <v>81</v>
      </c>
      <c r="J13" s="1">
        <v>80</v>
      </c>
      <c r="K13" s="1" t="s">
        <v>37</v>
      </c>
      <c r="L13" s="1" t="s">
        <v>37</v>
      </c>
      <c r="M13" s="1" t="s">
        <v>67</v>
      </c>
      <c r="N13" s="1" t="s">
        <v>14</v>
      </c>
      <c r="O13" s="1" t="str">
        <f t="shared" si="0"/>
        <v>Yes</v>
      </c>
      <c r="P13" s="6"/>
      <c r="Q13" s="6">
        <f t="shared" si="1"/>
        <v>30</v>
      </c>
      <c r="R13" s="1">
        <f t="shared" ca="1" si="2"/>
        <v>0</v>
      </c>
      <c r="S13" s="6"/>
      <c r="T13" s="9"/>
      <c r="U13" s="1"/>
      <c r="V13" s="1"/>
    </row>
    <row r="14" spans="1:22" x14ac:dyDescent="0.25">
      <c r="A14" s="1">
        <v>9</v>
      </c>
      <c r="B14" s="1"/>
      <c r="C14" s="1"/>
      <c r="D14" s="1"/>
      <c r="E14" s="1"/>
      <c r="F14" s="7"/>
      <c r="G14" s="1">
        <v>53</v>
      </c>
      <c r="H14" s="1">
        <v>53</v>
      </c>
      <c r="I14" s="1">
        <v>80</v>
      </c>
      <c r="J14" s="1">
        <v>80</v>
      </c>
      <c r="K14" s="1" t="s">
        <v>37</v>
      </c>
      <c r="L14" s="1" t="s">
        <v>37</v>
      </c>
      <c r="M14" s="1" t="s">
        <v>67</v>
      </c>
      <c r="N14" s="1" t="s">
        <v>14</v>
      </c>
      <c r="O14" s="1" t="str">
        <f t="shared" si="0"/>
        <v>Yes</v>
      </c>
      <c r="P14" s="6"/>
      <c r="Q14" s="6">
        <f t="shared" si="1"/>
        <v>30</v>
      </c>
      <c r="R14" s="1">
        <f t="shared" ca="1" si="2"/>
        <v>0</v>
      </c>
      <c r="S14" s="6"/>
      <c r="T14" s="9"/>
      <c r="U14" s="1"/>
      <c r="V14" s="1"/>
    </row>
    <row r="15" spans="1:22" x14ac:dyDescent="0.25">
      <c r="A15" s="1">
        <v>10</v>
      </c>
      <c r="B15" s="1"/>
      <c r="C15" s="1"/>
      <c r="D15" s="1"/>
      <c r="E15" s="1"/>
      <c r="F15" s="7"/>
      <c r="G15" s="1">
        <v>53</v>
      </c>
      <c r="H15" s="1">
        <v>53</v>
      </c>
      <c r="I15" s="1">
        <v>80</v>
      </c>
      <c r="J15" s="1">
        <v>80</v>
      </c>
      <c r="K15" s="1" t="s">
        <v>37</v>
      </c>
      <c r="L15" s="1" t="s">
        <v>37</v>
      </c>
      <c r="M15" s="1" t="s">
        <v>67</v>
      </c>
      <c r="N15" s="1" t="s">
        <v>14</v>
      </c>
      <c r="O15" s="1" t="str">
        <f t="shared" si="0"/>
        <v>Yes</v>
      </c>
      <c r="P15" s="6"/>
      <c r="Q15" s="6">
        <f t="shared" si="1"/>
        <v>30</v>
      </c>
      <c r="R15" s="1">
        <f t="shared" ca="1" si="2"/>
        <v>0</v>
      </c>
      <c r="S15" s="6"/>
      <c r="T15" s="9"/>
      <c r="U15" s="1"/>
      <c r="V15" s="1"/>
    </row>
    <row r="16" spans="1:22" x14ac:dyDescent="0.25">
      <c r="A16" s="1">
        <v>11</v>
      </c>
      <c r="B16" s="1"/>
      <c r="C16" s="1"/>
      <c r="D16" s="1"/>
      <c r="E16" s="1"/>
      <c r="F16" s="7"/>
      <c r="G16" s="1">
        <v>53</v>
      </c>
      <c r="H16" s="1">
        <v>53</v>
      </c>
      <c r="I16" s="1">
        <v>80</v>
      </c>
      <c r="J16" s="1">
        <v>80</v>
      </c>
      <c r="K16" s="1" t="s">
        <v>37</v>
      </c>
      <c r="L16" s="1" t="s">
        <v>37</v>
      </c>
      <c r="M16" s="1" t="s">
        <v>67</v>
      </c>
      <c r="N16" s="1" t="s">
        <v>14</v>
      </c>
      <c r="O16" s="1" t="str">
        <f t="shared" si="0"/>
        <v>Yes</v>
      </c>
      <c r="P16" s="6"/>
      <c r="Q16" s="6">
        <f t="shared" si="1"/>
        <v>30</v>
      </c>
      <c r="R16" s="1">
        <f t="shared" ca="1" si="2"/>
        <v>0</v>
      </c>
      <c r="S16" s="6"/>
      <c r="T16" s="9"/>
      <c r="U16" s="1"/>
      <c r="V16" s="1"/>
    </row>
    <row r="17" spans="1:22" x14ac:dyDescent="0.25">
      <c r="A17" s="1">
        <v>12</v>
      </c>
      <c r="B17" s="1"/>
      <c r="C17" s="1"/>
      <c r="D17" s="1"/>
      <c r="E17" s="1"/>
      <c r="F17" s="7"/>
      <c r="G17" s="1">
        <v>53</v>
      </c>
      <c r="H17" s="1">
        <v>53</v>
      </c>
      <c r="I17" s="1">
        <v>80</v>
      </c>
      <c r="J17" s="1">
        <v>80</v>
      </c>
      <c r="K17" s="1" t="s">
        <v>37</v>
      </c>
      <c r="L17" s="1" t="s">
        <v>37</v>
      </c>
      <c r="M17" s="1" t="s">
        <v>67</v>
      </c>
      <c r="N17" s="1" t="s">
        <v>14</v>
      </c>
      <c r="O17" s="1" t="str">
        <f t="shared" si="0"/>
        <v>Yes</v>
      </c>
      <c r="P17" s="6"/>
      <c r="Q17" s="6">
        <f t="shared" si="1"/>
        <v>30</v>
      </c>
      <c r="R17" s="1">
        <f t="shared" ca="1" si="2"/>
        <v>0</v>
      </c>
      <c r="S17" s="6"/>
      <c r="T17" s="9"/>
      <c r="U17" s="1"/>
      <c r="V17" s="1"/>
    </row>
    <row r="18" spans="1:22" x14ac:dyDescent="0.25">
      <c r="A18" s="1">
        <v>13</v>
      </c>
      <c r="B18" s="1"/>
      <c r="C18" s="1"/>
      <c r="D18" s="1"/>
      <c r="E18" s="1"/>
      <c r="F18" s="7"/>
      <c r="G18" s="1">
        <v>53</v>
      </c>
      <c r="H18" s="1">
        <v>53</v>
      </c>
      <c r="I18" s="1">
        <v>80</v>
      </c>
      <c r="J18" s="1">
        <v>80</v>
      </c>
      <c r="K18" s="1" t="s">
        <v>37</v>
      </c>
      <c r="L18" s="1" t="s">
        <v>37</v>
      </c>
      <c r="M18" s="1" t="s">
        <v>67</v>
      </c>
      <c r="N18" s="1" t="s">
        <v>14</v>
      </c>
      <c r="O18" s="1" t="str">
        <f t="shared" si="0"/>
        <v>Yes</v>
      </c>
      <c r="P18" s="6"/>
      <c r="Q18" s="6">
        <f t="shared" si="1"/>
        <v>30</v>
      </c>
      <c r="R18" s="1">
        <f t="shared" ca="1" si="2"/>
        <v>0</v>
      </c>
      <c r="S18" s="6"/>
      <c r="T18" s="9"/>
      <c r="U18" s="1"/>
      <c r="V18" s="1"/>
    </row>
    <row r="19" spans="1:22" x14ac:dyDescent="0.25">
      <c r="A19" s="1">
        <v>14</v>
      </c>
      <c r="B19" s="1"/>
      <c r="C19" s="1"/>
      <c r="D19" s="1"/>
      <c r="E19" s="1"/>
      <c r="F19" s="7"/>
      <c r="G19" s="1">
        <v>53</v>
      </c>
      <c r="H19" s="1">
        <v>53</v>
      </c>
      <c r="I19" s="1">
        <v>80</v>
      </c>
      <c r="J19" s="1">
        <v>80</v>
      </c>
      <c r="K19" s="1" t="s">
        <v>37</v>
      </c>
      <c r="L19" s="1" t="s">
        <v>37</v>
      </c>
      <c r="M19" s="1" t="s">
        <v>67</v>
      </c>
      <c r="N19" s="1" t="s">
        <v>14</v>
      </c>
      <c r="O19" s="1" t="str">
        <f t="shared" si="0"/>
        <v>Yes</v>
      </c>
      <c r="P19" s="6"/>
      <c r="Q19" s="6">
        <f t="shared" si="1"/>
        <v>30</v>
      </c>
      <c r="R19" s="1">
        <f t="shared" ca="1" si="2"/>
        <v>0</v>
      </c>
      <c r="S19" s="6"/>
      <c r="T19" s="9"/>
      <c r="U19" s="1"/>
      <c r="V19" s="1"/>
    </row>
    <row r="20" spans="1:22" x14ac:dyDescent="0.25">
      <c r="A20" s="1">
        <v>15</v>
      </c>
      <c r="B20" s="1"/>
      <c r="C20" s="1"/>
      <c r="D20" s="1"/>
      <c r="E20" s="1"/>
      <c r="F20" s="7"/>
      <c r="G20" s="1">
        <v>74</v>
      </c>
      <c r="H20" s="1">
        <v>34</v>
      </c>
      <c r="I20" s="1">
        <v>85</v>
      </c>
      <c r="J20" s="1">
        <v>80</v>
      </c>
      <c r="K20" s="1" t="s">
        <v>37</v>
      </c>
      <c r="L20" s="1" t="s">
        <v>36</v>
      </c>
      <c r="M20" s="1" t="s">
        <v>67</v>
      </c>
      <c r="N20" s="1" t="s">
        <v>14</v>
      </c>
      <c r="O20" s="1" t="str">
        <f t="shared" si="0"/>
        <v>Yes</v>
      </c>
      <c r="P20" s="6"/>
      <c r="Q20" s="6">
        <f t="shared" si="1"/>
        <v>30</v>
      </c>
      <c r="R20" s="1">
        <f t="shared" ca="1" si="2"/>
        <v>0</v>
      </c>
      <c r="S20" s="6"/>
      <c r="T20" s="9"/>
      <c r="U20" s="1"/>
      <c r="V20" s="1"/>
    </row>
    <row r="21" spans="1:22" x14ac:dyDescent="0.25">
      <c r="A21" s="1">
        <v>16</v>
      </c>
      <c r="B21" s="1"/>
      <c r="C21" s="1"/>
      <c r="D21" s="1"/>
      <c r="E21" s="1"/>
      <c r="F21" s="7"/>
      <c r="G21" s="1">
        <v>100</v>
      </c>
      <c r="H21" s="1">
        <v>50</v>
      </c>
      <c r="I21" s="1">
        <v>80</v>
      </c>
      <c r="J21" s="1">
        <v>67</v>
      </c>
      <c r="K21" s="1" t="s">
        <v>36</v>
      </c>
      <c r="L21" s="1" t="s">
        <v>37</v>
      </c>
      <c r="M21" s="1" t="s">
        <v>69</v>
      </c>
      <c r="N21" s="1" t="s">
        <v>14</v>
      </c>
      <c r="O21" s="1" t="str">
        <f t="shared" si="0"/>
        <v>Yes</v>
      </c>
      <c r="P21" s="6"/>
      <c r="Q21" s="6">
        <f t="shared" si="1"/>
        <v>30</v>
      </c>
      <c r="R21" s="1">
        <f t="shared" ca="1" si="2"/>
        <v>0</v>
      </c>
      <c r="S21" s="6"/>
      <c r="T21" s="9"/>
      <c r="U21" s="1"/>
      <c r="V21" s="1"/>
    </row>
    <row r="22" spans="1:22" x14ac:dyDescent="0.25">
      <c r="A22" s="1">
        <v>17</v>
      </c>
      <c r="B22" s="1"/>
      <c r="C22" s="1"/>
      <c r="D22" s="1"/>
      <c r="E22" s="1"/>
      <c r="F22" s="7"/>
      <c r="G22" s="1">
        <v>115</v>
      </c>
      <c r="H22" s="1">
        <v>50</v>
      </c>
      <c r="I22" s="1">
        <v>113</v>
      </c>
      <c r="J22" s="1">
        <v>80</v>
      </c>
      <c r="K22" s="1" t="s">
        <v>36</v>
      </c>
      <c r="L22" s="1" t="s">
        <v>37</v>
      </c>
      <c r="M22" s="1" t="s">
        <v>79</v>
      </c>
      <c r="N22" s="1" t="s">
        <v>14</v>
      </c>
      <c r="O22" s="1" t="str">
        <f t="shared" si="0"/>
        <v>Yes</v>
      </c>
      <c r="P22" s="6"/>
      <c r="Q22" s="6">
        <f t="shared" si="1"/>
        <v>30</v>
      </c>
      <c r="R22" s="1">
        <f t="shared" ca="1" si="2"/>
        <v>0</v>
      </c>
      <c r="S22" s="6"/>
      <c r="T22" s="9"/>
      <c r="U22" s="1"/>
      <c r="V22" s="1"/>
    </row>
    <row r="23" spans="1:22" x14ac:dyDescent="0.25">
      <c r="A23" s="1">
        <v>18</v>
      </c>
      <c r="B23" s="1"/>
      <c r="C23" s="1"/>
      <c r="D23" s="1"/>
      <c r="E23" s="1"/>
      <c r="F23" s="7"/>
      <c r="G23" s="1">
        <v>120</v>
      </c>
      <c r="H23" s="1">
        <v>50</v>
      </c>
      <c r="I23" s="1">
        <v>88</v>
      </c>
      <c r="J23" s="1">
        <v>80</v>
      </c>
      <c r="K23" s="1" t="s">
        <v>36</v>
      </c>
      <c r="L23" s="1" t="s">
        <v>37</v>
      </c>
      <c r="M23" s="1" t="s">
        <v>67</v>
      </c>
      <c r="N23" s="1" t="s">
        <v>14</v>
      </c>
      <c r="O23" s="1" t="str">
        <f t="shared" si="0"/>
        <v>Yes</v>
      </c>
      <c r="P23" s="6"/>
      <c r="Q23" s="6">
        <f t="shared" si="1"/>
        <v>30</v>
      </c>
      <c r="R23" s="1">
        <f t="shared" ca="1" si="2"/>
        <v>0</v>
      </c>
      <c r="S23" s="6"/>
      <c r="T23" s="9"/>
      <c r="U23" s="1"/>
      <c r="V23" s="1"/>
    </row>
    <row r="24" spans="1:22" x14ac:dyDescent="0.25">
      <c r="A24" s="1">
        <v>19</v>
      </c>
      <c r="B24" s="1"/>
      <c r="C24" s="1"/>
      <c r="D24" s="1"/>
      <c r="E24" s="1"/>
      <c r="F24" s="7"/>
      <c r="G24" s="1">
        <v>112</v>
      </c>
      <c r="H24" s="1">
        <v>50</v>
      </c>
      <c r="I24" s="1">
        <v>96</v>
      </c>
      <c r="J24" s="1">
        <v>80</v>
      </c>
      <c r="K24" s="1" t="s">
        <v>36</v>
      </c>
      <c r="L24" s="1" t="s">
        <v>37</v>
      </c>
      <c r="M24" s="1" t="s">
        <v>78</v>
      </c>
      <c r="N24" s="1" t="s">
        <v>14</v>
      </c>
      <c r="O24" s="1" t="str">
        <f t="shared" si="0"/>
        <v>Yes</v>
      </c>
      <c r="P24" s="6"/>
      <c r="Q24" s="6">
        <f t="shared" si="1"/>
        <v>30</v>
      </c>
      <c r="R24" s="1">
        <f t="shared" ca="1" si="2"/>
        <v>0</v>
      </c>
      <c r="S24" s="6"/>
      <c r="T24" s="9"/>
      <c r="U24" s="1"/>
      <c r="V24" s="1"/>
    </row>
    <row r="25" spans="1:22" x14ac:dyDescent="0.25">
      <c r="A25" s="1">
        <v>20</v>
      </c>
      <c r="B25" s="1"/>
      <c r="C25" s="1"/>
      <c r="D25" s="1"/>
      <c r="E25" s="1"/>
      <c r="F25" s="7"/>
      <c r="G25" s="1">
        <v>112</v>
      </c>
      <c r="H25" s="1">
        <v>51</v>
      </c>
      <c r="I25" s="1">
        <v>83</v>
      </c>
      <c r="J25" s="1">
        <v>45</v>
      </c>
      <c r="K25" s="1" t="s">
        <v>36</v>
      </c>
      <c r="L25" s="1" t="s">
        <v>37</v>
      </c>
      <c r="M25" s="1" t="s">
        <v>76</v>
      </c>
      <c r="N25" s="1" t="s">
        <v>14</v>
      </c>
      <c r="O25" s="1" t="str">
        <f t="shared" si="0"/>
        <v>Yes</v>
      </c>
      <c r="P25" s="6"/>
      <c r="Q25" s="6">
        <f t="shared" si="1"/>
        <v>30</v>
      </c>
      <c r="R25" s="1">
        <f t="shared" ca="1" si="2"/>
        <v>0</v>
      </c>
      <c r="S25" s="6"/>
      <c r="T25" s="9"/>
      <c r="U25" s="1"/>
      <c r="V25" s="1"/>
    </row>
    <row r="26" spans="1:22" x14ac:dyDescent="0.25">
      <c r="A26" s="1">
        <v>21</v>
      </c>
      <c r="B26" s="1"/>
      <c r="C26" s="1"/>
      <c r="D26" s="1"/>
      <c r="E26" s="1"/>
      <c r="F26" s="7"/>
      <c r="G26" s="1">
        <v>63</v>
      </c>
      <c r="H26" s="1">
        <v>35</v>
      </c>
      <c r="I26" s="1">
        <v>80</v>
      </c>
      <c r="J26" s="1">
        <v>78</v>
      </c>
      <c r="K26" s="1" t="s">
        <v>37</v>
      </c>
      <c r="L26" s="1" t="s">
        <v>37</v>
      </c>
      <c r="M26" s="1" t="s">
        <v>78</v>
      </c>
      <c r="N26" s="1" t="s">
        <v>14</v>
      </c>
      <c r="O26" s="1" t="str">
        <f t="shared" si="0"/>
        <v>Yes</v>
      </c>
      <c r="P26" s="6"/>
      <c r="Q26" s="6">
        <f t="shared" si="1"/>
        <v>30</v>
      </c>
      <c r="R26" s="1">
        <f t="shared" ca="1" si="2"/>
        <v>0</v>
      </c>
      <c r="S26" s="6"/>
      <c r="T26" s="9"/>
      <c r="U26" s="1"/>
      <c r="V26" s="1"/>
    </row>
    <row r="27" spans="1:22" x14ac:dyDescent="0.25">
      <c r="A27" s="1">
        <v>22</v>
      </c>
      <c r="B27" s="1"/>
      <c r="C27" s="1"/>
      <c r="D27" s="1"/>
      <c r="E27" s="1"/>
      <c r="F27" s="7"/>
      <c r="G27" s="1">
        <v>55</v>
      </c>
      <c r="H27" s="1">
        <v>43</v>
      </c>
      <c r="I27" s="1">
        <v>80</v>
      </c>
      <c r="J27" s="1">
        <v>79</v>
      </c>
      <c r="K27" s="1" t="s">
        <v>37</v>
      </c>
      <c r="L27" s="1" t="s">
        <v>37</v>
      </c>
      <c r="M27" s="1" t="s">
        <v>78</v>
      </c>
      <c r="N27" s="1" t="s">
        <v>14</v>
      </c>
      <c r="O27" s="1" t="str">
        <f t="shared" si="0"/>
        <v>Yes</v>
      </c>
      <c r="P27" s="6"/>
      <c r="Q27" s="6">
        <f t="shared" si="1"/>
        <v>30</v>
      </c>
      <c r="R27" s="1">
        <f t="shared" ca="1" si="2"/>
        <v>0</v>
      </c>
      <c r="S27" s="6"/>
      <c r="T27" s="9"/>
      <c r="U27" s="1"/>
      <c r="V27" s="1"/>
    </row>
    <row r="28" spans="1:22" x14ac:dyDescent="0.25">
      <c r="A28" s="1">
        <v>23</v>
      </c>
      <c r="B28" s="1"/>
      <c r="C28" s="1"/>
      <c r="D28" s="1"/>
      <c r="E28" s="1"/>
      <c r="F28" s="7"/>
      <c r="G28" s="1">
        <v>53</v>
      </c>
      <c r="H28" s="1">
        <v>53</v>
      </c>
      <c r="I28" s="1">
        <v>80</v>
      </c>
      <c r="J28" s="1">
        <v>80</v>
      </c>
      <c r="K28" s="1" t="s">
        <v>37</v>
      </c>
      <c r="L28" s="1" t="s">
        <v>37</v>
      </c>
      <c r="M28" s="1" t="s">
        <v>78</v>
      </c>
      <c r="N28" s="1" t="s">
        <v>14</v>
      </c>
      <c r="O28" s="1" t="str">
        <f t="shared" si="0"/>
        <v>Yes</v>
      </c>
      <c r="P28" s="6"/>
      <c r="Q28" s="6">
        <f t="shared" si="1"/>
        <v>30</v>
      </c>
      <c r="R28" s="1">
        <f t="shared" ca="1" si="2"/>
        <v>0</v>
      </c>
      <c r="S28" s="6"/>
      <c r="T28" s="9"/>
      <c r="U28" s="1"/>
      <c r="V28" s="1"/>
    </row>
    <row r="29" spans="1:22" x14ac:dyDescent="0.25">
      <c r="A29" s="1">
        <v>24</v>
      </c>
      <c r="B29" s="1"/>
      <c r="C29" s="1"/>
      <c r="D29" s="1"/>
      <c r="E29" s="1"/>
      <c r="F29" s="7"/>
      <c r="G29" s="1">
        <v>57</v>
      </c>
      <c r="H29" s="1">
        <v>40</v>
      </c>
      <c r="I29" s="1">
        <v>100</v>
      </c>
      <c r="J29" s="1">
        <v>86</v>
      </c>
      <c r="K29" s="1" t="s">
        <v>37</v>
      </c>
      <c r="L29" s="1" t="s">
        <v>36</v>
      </c>
      <c r="M29" s="1" t="s">
        <v>78</v>
      </c>
      <c r="N29" s="1" t="s">
        <v>14</v>
      </c>
      <c r="O29" s="1" t="str">
        <f t="shared" si="0"/>
        <v>Yes</v>
      </c>
      <c r="P29" s="6"/>
      <c r="Q29" s="6">
        <f t="shared" si="1"/>
        <v>30</v>
      </c>
      <c r="R29" s="1">
        <f t="shared" ca="1" si="2"/>
        <v>0</v>
      </c>
      <c r="S29" s="6"/>
      <c r="T29" s="9"/>
      <c r="U29" s="1"/>
      <c r="V29" s="1"/>
    </row>
    <row r="30" spans="1:22" x14ac:dyDescent="0.25">
      <c r="A30" s="1">
        <v>25</v>
      </c>
      <c r="B30" s="1"/>
      <c r="C30" s="1"/>
      <c r="D30" s="1"/>
      <c r="E30" s="1"/>
      <c r="F30" s="7"/>
      <c r="G30" s="1">
        <v>48</v>
      </c>
      <c r="H30" s="1">
        <v>48</v>
      </c>
      <c r="I30" s="1">
        <v>80</v>
      </c>
      <c r="J30" s="1">
        <v>80</v>
      </c>
      <c r="K30" s="1" t="s">
        <v>37</v>
      </c>
      <c r="L30" s="1" t="s">
        <v>37</v>
      </c>
      <c r="M30" s="1" t="s">
        <v>79</v>
      </c>
      <c r="N30" s="1" t="s">
        <v>14</v>
      </c>
      <c r="O30" s="1" t="str">
        <f t="shared" si="0"/>
        <v>Yes</v>
      </c>
      <c r="P30" s="6"/>
      <c r="Q30" s="6">
        <f t="shared" si="1"/>
        <v>30</v>
      </c>
      <c r="R30" s="1">
        <f t="shared" ca="1" si="2"/>
        <v>0</v>
      </c>
      <c r="S30" s="6"/>
      <c r="T30" s="9"/>
      <c r="U30" s="1"/>
      <c r="V30" s="1"/>
    </row>
    <row r="31" spans="1:22" x14ac:dyDescent="0.25">
      <c r="A31" s="1">
        <v>26</v>
      </c>
      <c r="B31" s="1"/>
      <c r="C31" s="1"/>
      <c r="D31" s="1"/>
      <c r="E31" s="1"/>
      <c r="F31" s="7"/>
      <c r="G31" s="1">
        <v>53</v>
      </c>
      <c r="H31" s="1">
        <v>53</v>
      </c>
      <c r="I31" s="1">
        <v>80</v>
      </c>
      <c r="J31" s="1">
        <v>80</v>
      </c>
      <c r="K31" s="1" t="s">
        <v>37</v>
      </c>
      <c r="L31" s="1" t="s">
        <v>37</v>
      </c>
      <c r="M31" s="1" t="s">
        <v>79</v>
      </c>
      <c r="N31" s="1" t="s">
        <v>14</v>
      </c>
      <c r="O31" s="1" t="str">
        <f t="shared" si="0"/>
        <v>Yes</v>
      </c>
      <c r="P31" s="6"/>
      <c r="Q31" s="6">
        <f t="shared" si="1"/>
        <v>30</v>
      </c>
      <c r="R31" s="1">
        <f t="shared" ca="1" si="2"/>
        <v>0</v>
      </c>
      <c r="S31" s="6"/>
      <c r="T31" s="9"/>
      <c r="U31" s="1"/>
      <c r="V31" s="1"/>
    </row>
    <row r="32" spans="1:22" x14ac:dyDescent="0.25">
      <c r="A32" s="1">
        <v>27</v>
      </c>
      <c r="B32" s="1"/>
      <c r="C32" s="1"/>
      <c r="D32" s="1"/>
      <c r="E32" s="1"/>
      <c r="F32" s="7"/>
      <c r="G32" s="1">
        <v>53</v>
      </c>
      <c r="H32" s="1">
        <v>53</v>
      </c>
      <c r="I32" s="1">
        <v>90</v>
      </c>
      <c r="J32" s="1">
        <v>80</v>
      </c>
      <c r="K32" s="1" t="s">
        <v>37</v>
      </c>
      <c r="L32" s="1" t="s">
        <v>37</v>
      </c>
      <c r="M32" s="1" t="s">
        <v>79</v>
      </c>
      <c r="N32" s="1" t="s">
        <v>14</v>
      </c>
      <c r="O32" s="1" t="str">
        <f t="shared" si="0"/>
        <v>Yes</v>
      </c>
      <c r="P32" s="6"/>
      <c r="Q32" s="6">
        <f t="shared" si="1"/>
        <v>30</v>
      </c>
      <c r="R32" s="1">
        <f t="shared" ca="1" si="2"/>
        <v>0</v>
      </c>
      <c r="S32" s="6"/>
      <c r="T32" s="9"/>
      <c r="U32" s="1"/>
      <c r="V32" s="1"/>
    </row>
    <row r="33" spans="1:22" x14ac:dyDescent="0.25">
      <c r="A33" s="1">
        <v>28</v>
      </c>
      <c r="B33" s="1"/>
      <c r="C33" s="1"/>
      <c r="D33" s="1"/>
      <c r="E33" s="1"/>
      <c r="F33" s="7"/>
      <c r="G33" s="1">
        <v>55</v>
      </c>
      <c r="H33" s="1">
        <v>51</v>
      </c>
      <c r="I33" s="1">
        <v>85</v>
      </c>
      <c r="J33" s="1">
        <v>76</v>
      </c>
      <c r="K33" s="1" t="s">
        <v>36</v>
      </c>
      <c r="L33" s="1" t="s">
        <v>37</v>
      </c>
      <c r="M33" s="1" t="s">
        <v>79</v>
      </c>
      <c r="N33" s="1" t="s">
        <v>14</v>
      </c>
      <c r="O33" s="1" t="str">
        <f t="shared" si="0"/>
        <v>Yes</v>
      </c>
      <c r="P33" s="6"/>
      <c r="Q33" s="6">
        <f t="shared" si="1"/>
        <v>30</v>
      </c>
      <c r="R33" s="1">
        <f t="shared" ca="1" si="2"/>
        <v>0</v>
      </c>
      <c r="S33" s="6"/>
      <c r="T33" s="9"/>
      <c r="U33" s="1"/>
      <c r="V33" s="1"/>
    </row>
    <row r="34" spans="1:22" x14ac:dyDescent="0.25">
      <c r="A34" s="1">
        <v>29</v>
      </c>
      <c r="B34" s="1"/>
      <c r="C34" s="1"/>
      <c r="D34" s="1"/>
      <c r="E34" s="1"/>
      <c r="F34" s="7"/>
      <c r="G34" s="1">
        <v>116</v>
      </c>
      <c r="H34" s="1">
        <v>49</v>
      </c>
      <c r="I34" s="1">
        <v>95</v>
      </c>
      <c r="J34" s="1">
        <v>80</v>
      </c>
      <c r="K34" s="1" t="s">
        <v>36</v>
      </c>
      <c r="L34" s="1" t="s">
        <v>37</v>
      </c>
      <c r="M34" s="1" t="s">
        <v>79</v>
      </c>
      <c r="N34" s="1" t="s">
        <v>14</v>
      </c>
      <c r="O34" s="1" t="str">
        <f t="shared" si="0"/>
        <v>Yes</v>
      </c>
      <c r="P34" s="6"/>
      <c r="Q34" s="6">
        <f t="shared" si="1"/>
        <v>30</v>
      </c>
      <c r="R34" s="1">
        <f t="shared" ca="1" si="2"/>
        <v>0</v>
      </c>
      <c r="S34" s="6"/>
      <c r="T34" s="9"/>
      <c r="U34" s="1"/>
      <c r="V34" s="1"/>
    </row>
    <row r="35" spans="1:22" x14ac:dyDescent="0.25">
      <c r="A35" s="1">
        <v>30</v>
      </c>
      <c r="B35" s="1"/>
      <c r="C35" s="1"/>
      <c r="D35" s="1"/>
      <c r="E35" s="1"/>
      <c r="F35" s="7"/>
      <c r="G35" s="1">
        <v>116</v>
      </c>
      <c r="H35" s="1">
        <v>55</v>
      </c>
      <c r="I35" s="1">
        <v>84</v>
      </c>
      <c r="J35" s="1">
        <v>55</v>
      </c>
      <c r="K35" s="1" t="s">
        <v>36</v>
      </c>
      <c r="L35" s="1" t="s">
        <v>37</v>
      </c>
      <c r="M35" s="1" t="s">
        <v>78</v>
      </c>
      <c r="N35" s="1" t="s">
        <v>14</v>
      </c>
      <c r="O35" s="1" t="str">
        <f t="shared" si="0"/>
        <v>Yes</v>
      </c>
      <c r="P35" s="6"/>
      <c r="Q35" s="6">
        <f t="shared" si="1"/>
        <v>30</v>
      </c>
      <c r="R35" s="1">
        <f t="shared" ca="1" si="2"/>
        <v>0</v>
      </c>
      <c r="S35" s="6"/>
      <c r="T35" s="9"/>
      <c r="U35" s="1"/>
      <c r="V35" s="1"/>
    </row>
    <row r="36" spans="1:22" x14ac:dyDescent="0.25">
      <c r="A36" s="1">
        <v>31</v>
      </c>
      <c r="B36" s="1"/>
      <c r="C36" s="1"/>
      <c r="D36" s="1"/>
      <c r="E36" s="1"/>
      <c r="F36" s="7"/>
      <c r="G36" s="1">
        <v>112</v>
      </c>
      <c r="H36" s="1">
        <v>51</v>
      </c>
      <c r="I36" s="1">
        <v>90</v>
      </c>
      <c r="J36" s="1">
        <v>75</v>
      </c>
      <c r="K36" s="1" t="s">
        <v>36</v>
      </c>
      <c r="L36" s="1" t="s">
        <v>37</v>
      </c>
      <c r="M36" s="1" t="s">
        <v>68</v>
      </c>
      <c r="N36" s="1" t="s">
        <v>14</v>
      </c>
      <c r="O36" s="1" t="str">
        <f t="shared" si="0"/>
        <v>Yes</v>
      </c>
      <c r="P36" s="6"/>
      <c r="Q36" s="6">
        <f t="shared" si="1"/>
        <v>30</v>
      </c>
      <c r="R36" s="1">
        <f t="shared" ca="1" si="2"/>
        <v>0</v>
      </c>
      <c r="S36" s="6"/>
      <c r="T36" s="9"/>
      <c r="U36" s="1"/>
      <c r="V36" s="1"/>
    </row>
    <row r="37" spans="1:22" x14ac:dyDescent="0.25">
      <c r="A37" s="1">
        <v>32</v>
      </c>
      <c r="B37" s="1"/>
      <c r="C37" s="1"/>
      <c r="D37" s="1"/>
      <c r="E37" s="1"/>
      <c r="F37" s="7"/>
      <c r="G37" s="1">
        <v>53</v>
      </c>
      <c r="H37" s="1">
        <v>53</v>
      </c>
      <c r="I37" s="1">
        <v>104</v>
      </c>
      <c r="J37" s="1">
        <v>81</v>
      </c>
      <c r="K37" s="1" t="s">
        <v>36</v>
      </c>
      <c r="L37" s="1" t="s">
        <v>37</v>
      </c>
      <c r="M37" s="1" t="s">
        <v>76</v>
      </c>
      <c r="N37" s="1" t="s">
        <v>14</v>
      </c>
      <c r="O37" s="1" t="str">
        <f t="shared" si="0"/>
        <v>Yes</v>
      </c>
      <c r="P37" s="6"/>
      <c r="Q37" s="6">
        <f t="shared" si="1"/>
        <v>30</v>
      </c>
      <c r="R37" s="1">
        <f t="shared" ca="1" si="2"/>
        <v>0</v>
      </c>
      <c r="S37" s="6"/>
      <c r="T37" s="9"/>
      <c r="U37" s="1"/>
      <c r="V37" s="1"/>
    </row>
    <row r="38" spans="1:22" x14ac:dyDescent="0.25">
      <c r="A38" s="1">
        <v>33</v>
      </c>
      <c r="B38" s="1"/>
      <c r="C38" s="1"/>
      <c r="D38" s="1"/>
      <c r="E38" s="1"/>
      <c r="F38" s="7"/>
      <c r="G38" s="1">
        <v>49</v>
      </c>
      <c r="H38" s="1">
        <v>49</v>
      </c>
      <c r="I38" s="1">
        <v>123</v>
      </c>
      <c r="J38" s="1">
        <v>118</v>
      </c>
      <c r="K38" s="1" t="s">
        <v>37</v>
      </c>
      <c r="L38" s="1" t="s">
        <v>36</v>
      </c>
      <c r="M38" s="1" t="s">
        <v>76</v>
      </c>
      <c r="N38" s="1" t="s">
        <v>14</v>
      </c>
      <c r="O38" s="1" t="str">
        <f t="shared" si="0"/>
        <v>Yes</v>
      </c>
      <c r="P38" s="6"/>
      <c r="Q38" s="6">
        <f t="shared" si="1"/>
        <v>30</v>
      </c>
      <c r="R38" s="1">
        <f t="shared" ca="1" si="2"/>
        <v>0</v>
      </c>
      <c r="S38" s="6"/>
      <c r="T38" s="9"/>
      <c r="U38" s="1"/>
      <c r="V38" s="1"/>
    </row>
    <row r="39" spans="1:22" x14ac:dyDescent="0.25">
      <c r="A39" s="1">
        <v>34</v>
      </c>
      <c r="B39" s="1"/>
      <c r="C39" s="1"/>
      <c r="D39" s="1"/>
      <c r="E39" s="1"/>
      <c r="F39" s="7"/>
      <c r="G39" s="1">
        <v>53</v>
      </c>
      <c r="H39" s="1">
        <v>53</v>
      </c>
      <c r="I39" s="1">
        <v>80</v>
      </c>
      <c r="J39" s="1">
        <v>80</v>
      </c>
      <c r="K39" s="1" t="s">
        <v>37</v>
      </c>
      <c r="L39" s="1" t="s">
        <v>37</v>
      </c>
      <c r="M39" s="1" t="s">
        <v>78</v>
      </c>
      <c r="N39" s="1" t="s">
        <v>14</v>
      </c>
      <c r="O39" s="1" t="str">
        <f t="shared" si="0"/>
        <v>Yes</v>
      </c>
      <c r="P39" s="6"/>
      <c r="Q39" s="6">
        <f t="shared" si="1"/>
        <v>30</v>
      </c>
      <c r="R39" s="1">
        <f t="shared" ca="1" si="2"/>
        <v>0</v>
      </c>
      <c r="S39" s="6"/>
      <c r="T39" s="9"/>
      <c r="U39" s="1"/>
      <c r="V39" s="1"/>
    </row>
    <row r="40" spans="1:22" x14ac:dyDescent="0.25">
      <c r="A40" s="1">
        <v>35</v>
      </c>
      <c r="B40" s="1"/>
      <c r="C40" s="1"/>
      <c r="D40" s="1"/>
      <c r="E40" s="1"/>
      <c r="F40" s="7"/>
      <c r="G40" s="1">
        <v>71</v>
      </c>
      <c r="H40" s="1">
        <v>53</v>
      </c>
      <c r="I40" s="1">
        <v>81</v>
      </c>
      <c r="J40" s="1">
        <v>80</v>
      </c>
      <c r="K40" s="1" t="s">
        <v>36</v>
      </c>
      <c r="L40" s="1" t="s">
        <v>37</v>
      </c>
      <c r="M40" s="1" t="s">
        <v>78</v>
      </c>
      <c r="N40" s="1" t="s">
        <v>14</v>
      </c>
      <c r="O40" s="1" t="str">
        <f t="shared" si="0"/>
        <v>Yes</v>
      </c>
      <c r="P40" s="6"/>
      <c r="Q40" s="6">
        <f t="shared" si="1"/>
        <v>30</v>
      </c>
      <c r="R40" s="1">
        <f t="shared" ca="1" si="2"/>
        <v>0</v>
      </c>
      <c r="S40" s="6"/>
      <c r="T40" s="9"/>
      <c r="U40" s="1"/>
      <c r="V40" s="1"/>
    </row>
    <row r="41" spans="1:22" x14ac:dyDescent="0.25">
      <c r="A41" s="1">
        <v>36</v>
      </c>
      <c r="B41" s="1"/>
      <c r="C41" s="1"/>
      <c r="D41" s="1"/>
      <c r="E41" s="1"/>
      <c r="F41" s="7"/>
      <c r="G41" s="1">
        <v>105</v>
      </c>
      <c r="H41" s="1">
        <v>54</v>
      </c>
      <c r="I41" s="1">
        <v>71</v>
      </c>
      <c r="J41" s="1">
        <v>55</v>
      </c>
      <c r="K41" s="1" t="s">
        <v>36</v>
      </c>
      <c r="L41" s="1" t="s">
        <v>37</v>
      </c>
      <c r="M41" s="1" t="s">
        <v>68</v>
      </c>
      <c r="N41" s="1" t="s">
        <v>14</v>
      </c>
      <c r="O41" s="1" t="str">
        <f t="shared" si="0"/>
        <v>Yes</v>
      </c>
      <c r="P41" s="6"/>
      <c r="Q41" s="6">
        <f t="shared" si="1"/>
        <v>30</v>
      </c>
      <c r="R41" s="1">
        <f t="shared" ca="1" si="2"/>
        <v>0</v>
      </c>
      <c r="S41" s="6"/>
      <c r="T41" s="9"/>
      <c r="U41" s="1"/>
      <c r="V41" s="1"/>
    </row>
    <row r="42" spans="1:22" x14ac:dyDescent="0.25">
      <c r="A42" s="1">
        <v>37</v>
      </c>
      <c r="B42" s="1"/>
      <c r="C42" s="1"/>
      <c r="D42" s="1"/>
      <c r="E42" s="1"/>
      <c r="F42" s="7"/>
      <c r="G42" s="1">
        <v>116</v>
      </c>
      <c r="H42" s="1">
        <v>50</v>
      </c>
      <c r="I42" s="1">
        <v>95</v>
      </c>
      <c r="J42" s="1">
        <v>55</v>
      </c>
      <c r="K42" s="1" t="s">
        <v>36</v>
      </c>
      <c r="L42" s="1" t="s">
        <v>37</v>
      </c>
      <c r="M42" s="1" t="s">
        <v>76</v>
      </c>
      <c r="N42" s="1" t="s">
        <v>14</v>
      </c>
      <c r="O42" s="1" t="str">
        <f t="shared" si="0"/>
        <v>Yes</v>
      </c>
      <c r="P42" s="6"/>
      <c r="Q42" s="6">
        <f t="shared" si="1"/>
        <v>30</v>
      </c>
      <c r="R42" s="1">
        <f t="shared" ca="1" si="2"/>
        <v>0</v>
      </c>
      <c r="S42" s="6"/>
      <c r="T42" s="9"/>
      <c r="U42" s="1"/>
      <c r="V42" s="1"/>
    </row>
    <row r="43" spans="1:22" x14ac:dyDescent="0.25">
      <c r="A43" s="1">
        <v>38</v>
      </c>
      <c r="B43" s="1"/>
      <c r="C43" s="1"/>
      <c r="D43" s="1"/>
      <c r="E43" s="1"/>
      <c r="F43" s="7"/>
      <c r="G43" s="1">
        <v>125</v>
      </c>
      <c r="H43" s="1">
        <v>51</v>
      </c>
      <c r="I43" s="1">
        <v>92</v>
      </c>
      <c r="J43" s="1">
        <v>80</v>
      </c>
      <c r="K43" s="1" t="s">
        <v>36</v>
      </c>
      <c r="L43" s="1" t="s">
        <v>37</v>
      </c>
      <c r="M43" s="1" t="s">
        <v>77</v>
      </c>
      <c r="N43" s="1" t="s">
        <v>14</v>
      </c>
      <c r="O43" s="1" t="str">
        <f t="shared" si="0"/>
        <v>Yes</v>
      </c>
      <c r="P43" s="6"/>
      <c r="Q43" s="6">
        <f t="shared" si="1"/>
        <v>30</v>
      </c>
      <c r="R43" s="1">
        <f t="shared" ca="1" si="2"/>
        <v>0</v>
      </c>
      <c r="S43" s="6"/>
      <c r="T43" s="9"/>
      <c r="U43" s="1"/>
      <c r="V43" s="1"/>
    </row>
    <row r="44" spans="1:22" x14ac:dyDescent="0.25">
      <c r="A44" s="1">
        <v>39</v>
      </c>
      <c r="B44" s="1"/>
      <c r="C44" s="1"/>
      <c r="D44" s="1"/>
      <c r="E44" s="1"/>
      <c r="F44" s="7"/>
      <c r="G44" s="1">
        <v>66</v>
      </c>
      <c r="H44" s="1">
        <v>60</v>
      </c>
      <c r="I44" s="1">
        <v>77</v>
      </c>
      <c r="J44" s="1">
        <v>74</v>
      </c>
      <c r="K44" s="1" t="s">
        <v>36</v>
      </c>
      <c r="L44" s="1" t="s">
        <v>37</v>
      </c>
      <c r="M44" s="1" t="s">
        <v>77</v>
      </c>
      <c r="N44" s="1" t="s">
        <v>14</v>
      </c>
      <c r="O44" s="1" t="str">
        <f t="shared" si="0"/>
        <v>Yes</v>
      </c>
      <c r="P44" s="6"/>
      <c r="Q44" s="6">
        <f t="shared" si="1"/>
        <v>30</v>
      </c>
      <c r="R44" s="1">
        <f t="shared" ca="1" si="2"/>
        <v>0</v>
      </c>
      <c r="S44" s="6"/>
      <c r="T44" s="9"/>
      <c r="U44" s="1"/>
      <c r="V44" s="1"/>
    </row>
    <row r="45" spans="1:22" x14ac:dyDescent="0.25">
      <c r="A45" s="1">
        <v>40</v>
      </c>
      <c r="B45" s="1"/>
      <c r="C45" s="1"/>
      <c r="D45" s="1"/>
      <c r="E45" s="1"/>
      <c r="F45" s="7"/>
      <c r="G45" s="1">
        <v>56</v>
      </c>
      <c r="H45" s="1">
        <v>53</v>
      </c>
      <c r="I45" s="1">
        <v>93</v>
      </c>
      <c r="J45" s="1">
        <v>80</v>
      </c>
      <c r="K45" s="1" t="s">
        <v>37</v>
      </c>
      <c r="L45" s="1" t="s">
        <v>37</v>
      </c>
      <c r="M45" s="1" t="s">
        <v>77</v>
      </c>
      <c r="N45" s="1" t="s">
        <v>14</v>
      </c>
      <c r="O45" s="1" t="str">
        <f t="shared" si="0"/>
        <v>Yes</v>
      </c>
      <c r="P45" s="6"/>
      <c r="Q45" s="6">
        <f t="shared" si="1"/>
        <v>30</v>
      </c>
      <c r="R45" s="1">
        <f t="shared" ca="1" si="2"/>
        <v>0</v>
      </c>
      <c r="S45" s="6"/>
      <c r="T45" s="9"/>
      <c r="U45" s="1"/>
      <c r="V45" s="1"/>
    </row>
    <row r="46" spans="1:22" x14ac:dyDescent="0.25">
      <c r="A46" s="1">
        <v>41</v>
      </c>
      <c r="B46" s="1"/>
      <c r="C46" s="1"/>
      <c r="D46" s="1"/>
      <c r="E46" s="1"/>
      <c r="F46" s="7"/>
      <c r="G46" s="1">
        <v>53</v>
      </c>
      <c r="H46" s="1">
        <v>53</v>
      </c>
      <c r="I46" s="1">
        <v>80</v>
      </c>
      <c r="J46" s="1">
        <v>80</v>
      </c>
      <c r="K46" s="1" t="s">
        <v>37</v>
      </c>
      <c r="L46" s="1" t="s">
        <v>37</v>
      </c>
      <c r="M46" s="1" t="s">
        <v>77</v>
      </c>
      <c r="N46" s="1" t="s">
        <v>14</v>
      </c>
      <c r="O46" s="1" t="str">
        <f t="shared" si="0"/>
        <v>Yes</v>
      </c>
      <c r="P46" s="6"/>
      <c r="Q46" s="6">
        <f t="shared" si="1"/>
        <v>30</v>
      </c>
      <c r="R46" s="1">
        <f t="shared" ca="1" si="2"/>
        <v>0</v>
      </c>
      <c r="S46" s="6"/>
      <c r="T46" s="9"/>
      <c r="U46" s="1"/>
      <c r="V46" s="1"/>
    </row>
    <row r="47" spans="1:22" x14ac:dyDescent="0.25">
      <c r="A47" s="1">
        <v>42</v>
      </c>
      <c r="B47" s="1"/>
      <c r="C47" s="1"/>
      <c r="D47" s="1"/>
      <c r="E47" s="1"/>
      <c r="F47" s="7"/>
      <c r="G47" s="1">
        <v>49</v>
      </c>
      <c r="H47" s="1">
        <v>49</v>
      </c>
      <c r="I47" s="1">
        <v>99</v>
      </c>
      <c r="J47" s="1">
        <v>94</v>
      </c>
      <c r="K47" s="1" t="s">
        <v>37</v>
      </c>
      <c r="L47" s="1" t="s">
        <v>36</v>
      </c>
      <c r="M47" s="1" t="s">
        <v>77</v>
      </c>
      <c r="N47" s="1" t="s">
        <v>14</v>
      </c>
      <c r="O47" s="1" t="str">
        <f t="shared" si="0"/>
        <v>Yes</v>
      </c>
      <c r="P47" s="6"/>
      <c r="Q47" s="6">
        <f t="shared" si="1"/>
        <v>30</v>
      </c>
      <c r="R47" s="1">
        <f t="shared" ca="1" si="2"/>
        <v>0</v>
      </c>
      <c r="S47" s="6"/>
      <c r="T47" s="9"/>
      <c r="U47" s="1"/>
      <c r="V47" s="1"/>
    </row>
    <row r="48" spans="1:22" x14ac:dyDescent="0.25">
      <c r="A48" s="1">
        <v>43</v>
      </c>
      <c r="B48" s="1"/>
      <c r="C48" s="1"/>
      <c r="D48" s="1"/>
      <c r="E48" s="1"/>
      <c r="F48" s="7"/>
      <c r="G48" s="1">
        <v>53</v>
      </c>
      <c r="H48" s="1">
        <v>53</v>
      </c>
      <c r="I48" s="1">
        <v>80</v>
      </c>
      <c r="J48" s="1">
        <v>80</v>
      </c>
      <c r="K48" s="1" t="s">
        <v>37</v>
      </c>
      <c r="L48" s="1" t="s">
        <v>37</v>
      </c>
      <c r="M48" s="1" t="s">
        <v>76</v>
      </c>
      <c r="N48" s="1" t="s">
        <v>14</v>
      </c>
      <c r="O48" s="1" t="str">
        <f t="shared" si="0"/>
        <v>Yes</v>
      </c>
      <c r="P48" s="6"/>
      <c r="Q48" s="6">
        <f t="shared" si="1"/>
        <v>30</v>
      </c>
      <c r="R48" s="1">
        <f t="shared" ca="1" si="2"/>
        <v>0</v>
      </c>
      <c r="S48" s="6"/>
      <c r="T48" s="9"/>
      <c r="U48" s="1"/>
      <c r="V48" s="1"/>
    </row>
    <row r="49" spans="1:22" x14ac:dyDescent="0.25">
      <c r="A49" s="1">
        <v>44</v>
      </c>
      <c r="B49" s="1"/>
      <c r="C49" s="1"/>
      <c r="D49" s="1"/>
      <c r="E49" s="1"/>
      <c r="F49" s="7"/>
      <c r="G49" s="1">
        <v>91</v>
      </c>
      <c r="H49" s="1">
        <v>54</v>
      </c>
      <c r="I49" s="1">
        <v>102</v>
      </c>
      <c r="J49" s="1">
        <v>83</v>
      </c>
      <c r="K49" s="1" t="s">
        <v>37</v>
      </c>
      <c r="L49" s="1" t="s">
        <v>36</v>
      </c>
      <c r="M49" s="1" t="s">
        <v>76</v>
      </c>
      <c r="N49" s="1" t="s">
        <v>14</v>
      </c>
      <c r="O49" s="1" t="str">
        <f t="shared" si="0"/>
        <v>Yes</v>
      </c>
      <c r="P49" s="6"/>
      <c r="Q49" s="6">
        <f t="shared" si="1"/>
        <v>30</v>
      </c>
      <c r="R49" s="1">
        <f t="shared" ca="1" si="2"/>
        <v>0</v>
      </c>
      <c r="S49" s="6"/>
      <c r="T49" s="9"/>
      <c r="U49" s="1"/>
      <c r="V49" s="1"/>
    </row>
    <row r="50" spans="1:22" x14ac:dyDescent="0.25">
      <c r="A50" s="1">
        <v>45</v>
      </c>
      <c r="B50" s="1"/>
      <c r="C50" s="1"/>
      <c r="D50" s="1"/>
      <c r="E50" s="1"/>
      <c r="F50" s="7"/>
      <c r="G50" s="1">
        <v>53</v>
      </c>
      <c r="H50" s="1">
        <v>46</v>
      </c>
      <c r="I50" s="1">
        <v>73</v>
      </c>
      <c r="J50" s="1">
        <v>75</v>
      </c>
      <c r="K50" s="1" t="s">
        <v>37</v>
      </c>
      <c r="L50" s="1" t="s">
        <v>36</v>
      </c>
      <c r="M50" s="1" t="s">
        <v>66</v>
      </c>
      <c r="N50" s="1" t="s">
        <v>14</v>
      </c>
      <c r="O50" s="1" t="str">
        <f t="shared" si="0"/>
        <v>Yes</v>
      </c>
      <c r="P50" s="6"/>
      <c r="Q50" s="6">
        <f t="shared" si="1"/>
        <v>30</v>
      </c>
      <c r="R50" s="1">
        <f t="shared" ca="1" si="2"/>
        <v>0</v>
      </c>
      <c r="S50" s="6"/>
      <c r="T50" s="9"/>
      <c r="U50" s="1"/>
      <c r="V50" s="1"/>
    </row>
    <row r="51" spans="1:22" x14ac:dyDescent="0.25">
      <c r="A51" s="1">
        <v>46</v>
      </c>
      <c r="B51" s="1"/>
      <c r="C51" s="1"/>
      <c r="D51" s="1"/>
      <c r="E51" s="1"/>
      <c r="F51" s="7"/>
      <c r="G51" s="1">
        <v>55</v>
      </c>
      <c r="H51" s="1">
        <v>53</v>
      </c>
      <c r="I51" s="1">
        <v>80</v>
      </c>
      <c r="J51" s="1">
        <v>80</v>
      </c>
      <c r="K51" s="1" t="s">
        <v>37</v>
      </c>
      <c r="L51" s="1" t="s">
        <v>37</v>
      </c>
      <c r="M51" s="1" t="s">
        <v>66</v>
      </c>
      <c r="N51" s="1" t="s">
        <v>14</v>
      </c>
      <c r="O51" s="1" t="str">
        <f t="shared" si="0"/>
        <v>Yes</v>
      </c>
      <c r="P51" s="6"/>
      <c r="Q51" s="6">
        <f t="shared" si="1"/>
        <v>30</v>
      </c>
      <c r="R51" s="1">
        <f t="shared" ca="1" si="2"/>
        <v>0</v>
      </c>
      <c r="S51" s="6"/>
      <c r="T51" s="9"/>
      <c r="U51" s="1"/>
      <c r="V51" s="1"/>
    </row>
    <row r="52" spans="1:22" x14ac:dyDescent="0.25">
      <c r="A52" s="1">
        <v>47</v>
      </c>
      <c r="B52" s="1"/>
      <c r="C52" s="1"/>
      <c r="D52" s="1"/>
      <c r="E52" s="1"/>
      <c r="F52" s="7"/>
      <c r="G52" s="1">
        <v>53</v>
      </c>
      <c r="H52" s="1">
        <v>53</v>
      </c>
      <c r="I52" s="1">
        <v>80</v>
      </c>
      <c r="J52" s="1">
        <v>80</v>
      </c>
      <c r="K52" s="1" t="s">
        <v>37</v>
      </c>
      <c r="L52" s="1" t="s">
        <v>37</v>
      </c>
      <c r="M52" s="1" t="s">
        <v>66</v>
      </c>
      <c r="N52" s="1" t="s">
        <v>14</v>
      </c>
      <c r="O52" s="1" t="str">
        <f t="shared" si="0"/>
        <v>Yes</v>
      </c>
      <c r="P52" s="6"/>
      <c r="Q52" s="6">
        <f t="shared" si="1"/>
        <v>30</v>
      </c>
      <c r="R52" s="1">
        <f t="shared" ca="1" si="2"/>
        <v>0</v>
      </c>
      <c r="S52" s="6"/>
      <c r="T52" s="9"/>
      <c r="U52" s="1"/>
      <c r="V52" s="1"/>
    </row>
    <row r="53" spans="1:22" x14ac:dyDescent="0.25">
      <c r="A53" s="1">
        <v>48</v>
      </c>
      <c r="B53" s="1"/>
      <c r="C53" s="1"/>
      <c r="D53" s="1"/>
      <c r="E53" s="1"/>
      <c r="F53" s="7"/>
      <c r="G53" s="1">
        <v>53</v>
      </c>
      <c r="H53" s="1">
        <v>53</v>
      </c>
      <c r="I53" s="1">
        <v>80</v>
      </c>
      <c r="J53" s="1">
        <v>80</v>
      </c>
      <c r="K53" s="1" t="s">
        <v>37</v>
      </c>
      <c r="L53" s="1" t="s">
        <v>37</v>
      </c>
      <c r="M53" s="1" t="s">
        <v>66</v>
      </c>
      <c r="N53" s="1" t="s">
        <v>14</v>
      </c>
      <c r="O53" s="1" t="str">
        <f t="shared" si="0"/>
        <v>Yes</v>
      </c>
      <c r="P53" s="6"/>
      <c r="Q53" s="6">
        <f t="shared" si="1"/>
        <v>30</v>
      </c>
      <c r="R53" s="1">
        <f t="shared" ca="1" si="2"/>
        <v>0</v>
      </c>
      <c r="S53" s="6"/>
      <c r="T53" s="9"/>
      <c r="U53" s="1"/>
      <c r="V53" s="1"/>
    </row>
    <row r="54" spans="1:22" x14ac:dyDescent="0.25">
      <c r="A54" s="1">
        <v>49</v>
      </c>
      <c r="B54" s="1"/>
      <c r="C54" s="1"/>
      <c r="D54" s="1"/>
      <c r="E54" s="1"/>
      <c r="F54" s="7"/>
      <c r="G54" s="1">
        <v>53</v>
      </c>
      <c r="H54" s="1">
        <v>53</v>
      </c>
      <c r="I54" s="1">
        <v>80</v>
      </c>
      <c r="J54" s="1">
        <v>80</v>
      </c>
      <c r="K54" s="1" t="s">
        <v>37</v>
      </c>
      <c r="L54" s="1" t="s">
        <v>37</v>
      </c>
      <c r="M54" s="1" t="s">
        <v>66</v>
      </c>
      <c r="N54" s="1" t="s">
        <v>14</v>
      </c>
      <c r="O54" s="1" t="str">
        <f t="shared" si="0"/>
        <v>Yes</v>
      </c>
      <c r="P54" s="6"/>
      <c r="Q54" s="6">
        <f t="shared" si="1"/>
        <v>30</v>
      </c>
      <c r="R54" s="1">
        <f t="shared" ca="1" si="2"/>
        <v>0</v>
      </c>
      <c r="S54" s="6"/>
      <c r="T54" s="9"/>
      <c r="U54" s="1"/>
      <c r="V54" s="1"/>
    </row>
    <row r="55" spans="1:22" x14ac:dyDescent="0.25">
      <c r="A55" s="1">
        <v>50</v>
      </c>
      <c r="B55" s="1"/>
      <c r="C55" s="1"/>
      <c r="D55" s="1"/>
      <c r="E55" s="1"/>
      <c r="F55" s="7"/>
      <c r="G55" s="1">
        <v>53</v>
      </c>
      <c r="H55" s="1">
        <v>53</v>
      </c>
      <c r="I55" s="1">
        <v>80</v>
      </c>
      <c r="J55" s="1">
        <v>80</v>
      </c>
      <c r="K55" s="1" t="s">
        <v>37</v>
      </c>
      <c r="L55" s="1" t="s">
        <v>37</v>
      </c>
      <c r="M55" s="1" t="s">
        <v>66</v>
      </c>
      <c r="N55" s="1" t="s">
        <v>14</v>
      </c>
      <c r="O55" s="1" t="str">
        <f t="shared" si="0"/>
        <v>Yes</v>
      </c>
      <c r="P55" s="6"/>
      <c r="Q55" s="6">
        <f t="shared" si="1"/>
        <v>30</v>
      </c>
      <c r="R55" s="1">
        <f t="shared" ca="1" si="2"/>
        <v>0</v>
      </c>
      <c r="S55" s="6"/>
      <c r="T55" s="9"/>
      <c r="U55" s="1"/>
      <c r="V55" s="1"/>
    </row>
    <row r="56" spans="1:22" x14ac:dyDescent="0.25">
      <c r="A56" s="1">
        <v>51</v>
      </c>
      <c r="B56" s="1"/>
      <c r="C56" s="1"/>
      <c r="D56" s="1"/>
      <c r="E56" s="1"/>
      <c r="F56" s="7"/>
      <c r="G56" s="1">
        <v>53</v>
      </c>
      <c r="H56" s="1">
        <v>53</v>
      </c>
      <c r="I56" s="1">
        <v>80</v>
      </c>
      <c r="J56" s="1">
        <v>80</v>
      </c>
      <c r="K56" s="1" t="s">
        <v>37</v>
      </c>
      <c r="L56" s="1" t="s">
        <v>37</v>
      </c>
      <c r="M56" s="1" t="s">
        <v>66</v>
      </c>
      <c r="N56" s="1" t="s">
        <v>14</v>
      </c>
      <c r="O56" s="1" t="str">
        <f t="shared" si="0"/>
        <v>Yes</v>
      </c>
      <c r="P56" s="6"/>
      <c r="Q56" s="6">
        <f t="shared" si="1"/>
        <v>30</v>
      </c>
      <c r="R56" s="1">
        <f t="shared" ca="1" si="2"/>
        <v>0</v>
      </c>
      <c r="S56" s="6"/>
      <c r="T56" s="9"/>
      <c r="U56" s="1"/>
      <c r="V56" s="1"/>
    </row>
    <row r="57" spans="1:22" x14ac:dyDescent="0.25">
      <c r="A57" s="1">
        <v>52</v>
      </c>
      <c r="B57" s="1"/>
      <c r="C57" s="1"/>
      <c r="D57" s="1"/>
      <c r="E57" s="1"/>
      <c r="F57" s="7"/>
      <c r="G57" s="1">
        <v>53</v>
      </c>
      <c r="H57" s="1">
        <v>53</v>
      </c>
      <c r="I57" s="1">
        <v>80</v>
      </c>
      <c r="J57" s="1">
        <v>80</v>
      </c>
      <c r="K57" s="1" t="s">
        <v>37</v>
      </c>
      <c r="L57" s="1" t="s">
        <v>37</v>
      </c>
      <c r="M57" s="1" t="s">
        <v>66</v>
      </c>
      <c r="N57" s="1" t="s">
        <v>14</v>
      </c>
      <c r="O57" s="1" t="str">
        <f t="shared" si="0"/>
        <v>Yes</v>
      </c>
      <c r="P57" s="6"/>
      <c r="Q57" s="6">
        <f t="shared" si="1"/>
        <v>30</v>
      </c>
      <c r="R57" s="1">
        <f t="shared" ca="1" si="2"/>
        <v>0</v>
      </c>
      <c r="S57" s="6"/>
      <c r="T57" s="9"/>
      <c r="U57" s="1"/>
      <c r="V57" s="1"/>
    </row>
    <row r="58" spans="1:22" x14ac:dyDescent="0.25">
      <c r="A58" s="1">
        <v>53</v>
      </c>
      <c r="B58" s="1"/>
      <c r="C58" s="1"/>
      <c r="D58" s="1"/>
      <c r="E58" s="1"/>
      <c r="F58" s="7"/>
      <c r="G58" s="1">
        <v>53</v>
      </c>
      <c r="H58" s="1">
        <v>53</v>
      </c>
      <c r="I58" s="1">
        <v>80</v>
      </c>
      <c r="J58" s="1">
        <v>80</v>
      </c>
      <c r="K58" s="1" t="s">
        <v>37</v>
      </c>
      <c r="L58" s="1" t="s">
        <v>37</v>
      </c>
      <c r="M58" s="1" t="s">
        <v>66</v>
      </c>
      <c r="N58" s="1" t="s">
        <v>14</v>
      </c>
      <c r="O58" s="1" t="str">
        <f t="shared" si="0"/>
        <v>Yes</v>
      </c>
      <c r="P58" s="6"/>
      <c r="Q58" s="6">
        <f t="shared" si="1"/>
        <v>30</v>
      </c>
      <c r="R58" s="1">
        <f t="shared" ca="1" si="2"/>
        <v>0</v>
      </c>
      <c r="S58" s="6"/>
      <c r="T58" s="9"/>
      <c r="U58" s="1"/>
      <c r="V58" s="1"/>
    </row>
    <row r="59" spans="1:22" x14ac:dyDescent="0.25">
      <c r="A59" s="1">
        <v>54</v>
      </c>
      <c r="B59" s="1"/>
      <c r="C59" s="1"/>
      <c r="D59" s="1"/>
      <c r="E59" s="1"/>
      <c r="F59" s="7"/>
      <c r="G59" s="1">
        <v>53</v>
      </c>
      <c r="H59" s="1">
        <v>53</v>
      </c>
      <c r="I59" s="1">
        <v>80</v>
      </c>
      <c r="J59" s="1">
        <v>80</v>
      </c>
      <c r="K59" s="1" t="s">
        <v>37</v>
      </c>
      <c r="L59" s="1" t="s">
        <v>37</v>
      </c>
      <c r="M59" s="1" t="s">
        <v>66</v>
      </c>
      <c r="N59" s="1" t="s">
        <v>14</v>
      </c>
      <c r="O59" s="1" t="str">
        <f t="shared" si="0"/>
        <v>Yes</v>
      </c>
      <c r="P59" s="6"/>
      <c r="Q59" s="6">
        <f t="shared" si="1"/>
        <v>30</v>
      </c>
      <c r="R59" s="1">
        <f t="shared" ca="1" si="2"/>
        <v>0</v>
      </c>
      <c r="S59" s="6"/>
      <c r="T59" s="9"/>
      <c r="U59" s="1"/>
      <c r="V59" s="1"/>
    </row>
    <row r="60" spans="1:22" x14ac:dyDescent="0.25">
      <c r="A60" s="1">
        <v>55</v>
      </c>
      <c r="B60" s="1"/>
      <c r="C60" s="1"/>
      <c r="D60" s="1"/>
      <c r="E60" s="1"/>
      <c r="F60" s="7"/>
      <c r="G60" s="1">
        <v>53</v>
      </c>
      <c r="H60" s="1">
        <v>53</v>
      </c>
      <c r="I60" s="1">
        <v>80</v>
      </c>
      <c r="J60" s="1">
        <v>80</v>
      </c>
      <c r="K60" s="1" t="s">
        <v>37</v>
      </c>
      <c r="L60" s="1" t="s">
        <v>37</v>
      </c>
      <c r="M60" s="1" t="s">
        <v>66</v>
      </c>
      <c r="N60" s="1" t="s">
        <v>14</v>
      </c>
      <c r="O60" s="1" t="str">
        <f t="shared" si="0"/>
        <v>Yes</v>
      </c>
      <c r="P60" s="6"/>
      <c r="Q60" s="6">
        <f t="shared" si="1"/>
        <v>30</v>
      </c>
      <c r="R60" s="1">
        <f t="shared" ca="1" si="2"/>
        <v>0</v>
      </c>
      <c r="S60" s="6"/>
      <c r="T60" s="9"/>
      <c r="U60" s="1"/>
      <c r="V60" s="1"/>
    </row>
    <row r="61" spans="1:22" x14ac:dyDescent="0.25">
      <c r="A61" s="1">
        <v>56</v>
      </c>
      <c r="B61" s="1"/>
      <c r="C61" s="1"/>
      <c r="D61" s="1"/>
      <c r="E61" s="1"/>
      <c r="F61" s="7"/>
      <c r="G61" s="1">
        <v>67</v>
      </c>
      <c r="H61" s="1">
        <v>53</v>
      </c>
      <c r="I61" s="1">
        <v>86</v>
      </c>
      <c r="J61" s="1">
        <v>80</v>
      </c>
      <c r="K61" s="1" t="s">
        <v>37</v>
      </c>
      <c r="L61" s="1" t="s">
        <v>37</v>
      </c>
      <c r="M61" s="1" t="s">
        <v>66</v>
      </c>
      <c r="N61" s="1" t="s">
        <v>14</v>
      </c>
      <c r="O61" s="1" t="str">
        <f t="shared" si="0"/>
        <v>Yes</v>
      </c>
      <c r="P61" s="6"/>
      <c r="Q61" s="6">
        <f t="shared" si="1"/>
        <v>30</v>
      </c>
      <c r="R61" s="1">
        <f t="shared" ca="1" si="2"/>
        <v>0</v>
      </c>
      <c r="S61" s="6"/>
      <c r="T61" s="9"/>
      <c r="U61" s="1"/>
      <c r="V61" s="1"/>
    </row>
    <row r="62" spans="1:22" x14ac:dyDescent="0.25">
      <c r="A62" s="1">
        <v>57</v>
      </c>
      <c r="B62" s="1"/>
      <c r="C62" s="1"/>
      <c r="D62" s="1"/>
      <c r="E62" s="1"/>
      <c r="F62" s="7"/>
      <c r="G62" s="1">
        <v>53</v>
      </c>
      <c r="H62" s="1">
        <v>53</v>
      </c>
      <c r="I62" s="1">
        <v>98</v>
      </c>
      <c r="J62" s="1">
        <v>88</v>
      </c>
      <c r="K62" s="1" t="s">
        <v>37</v>
      </c>
      <c r="L62" s="1" t="s">
        <v>37</v>
      </c>
      <c r="M62" s="1" t="s">
        <v>66</v>
      </c>
      <c r="N62" s="1" t="s">
        <v>14</v>
      </c>
      <c r="O62" s="1" t="str">
        <f t="shared" si="0"/>
        <v>Yes</v>
      </c>
      <c r="P62" s="6"/>
      <c r="Q62" s="6">
        <f t="shared" si="1"/>
        <v>30</v>
      </c>
      <c r="R62" s="1">
        <f t="shared" ca="1" si="2"/>
        <v>0</v>
      </c>
      <c r="S62" s="6"/>
      <c r="T62" s="9"/>
      <c r="U62" s="1"/>
      <c r="V62" s="1"/>
    </row>
    <row r="63" spans="1:22" x14ac:dyDescent="0.25">
      <c r="A63" s="1">
        <v>58</v>
      </c>
      <c r="B63" s="1"/>
      <c r="C63" s="1"/>
      <c r="D63" s="1"/>
      <c r="E63" s="1"/>
      <c r="F63" s="7"/>
      <c r="G63" s="1">
        <v>53</v>
      </c>
      <c r="H63" s="1">
        <v>53</v>
      </c>
      <c r="I63" s="1">
        <v>107</v>
      </c>
      <c r="J63" s="1">
        <v>100</v>
      </c>
      <c r="K63" s="1" t="s">
        <v>37</v>
      </c>
      <c r="L63" s="1" t="s">
        <v>37</v>
      </c>
      <c r="M63" s="1" t="s">
        <v>66</v>
      </c>
      <c r="N63" s="1" t="s">
        <v>14</v>
      </c>
      <c r="O63" s="1" t="str">
        <f>IF(N63="Available","Yes","No")</f>
        <v>Yes</v>
      </c>
      <c r="P63" s="6"/>
      <c r="Q63" s="6">
        <f t="shared" si="1"/>
        <v>30</v>
      </c>
      <c r="R63" s="1">
        <f t="shared" ca="1" si="2"/>
        <v>0</v>
      </c>
      <c r="S63" s="6"/>
      <c r="T63" s="9"/>
      <c r="U63" s="1"/>
      <c r="V63" s="1"/>
    </row>
  </sheetData>
  <mergeCells count="8">
    <mergeCell ref="A1:H1"/>
    <mergeCell ref="B4:F4"/>
    <mergeCell ref="G4:J4"/>
    <mergeCell ref="S4:U4"/>
    <mergeCell ref="A3:L3"/>
    <mergeCell ref="M3:U3"/>
    <mergeCell ref="N4:R4"/>
    <mergeCell ref="K4:M4"/>
  </mergeCells>
  <conditionalFormatting sqref="O6:O63">
    <cfRule type="cellIs" dxfId="2" priority="3" operator="equal">
      <formula>"No"</formula>
    </cfRule>
    <cfRule type="cellIs" dxfId="1" priority="4" operator="equal">
      <formula>"Yes"</formula>
    </cfRule>
  </conditionalFormatting>
  <conditionalFormatting sqref="R6:R63">
    <cfRule type="cellIs" dxfId="0" priority="2" operator="greaterThan">
      <formula>30</formula>
    </cfRule>
  </conditionalFormatting>
  <dataValidations count="6">
    <dataValidation type="list" allowBlank="1" showInputMessage="1" showErrorMessage="1" sqref="N6:N63" xr:uid="{1720891E-EC1F-4016-8F6F-73D16D7DD1DB}">
      <formula1>INDIRECT("LotSold[Sale Status]")</formula1>
    </dataValidation>
    <dataValidation type="list" allowBlank="1" showInputMessage="1" showErrorMessage="1" sqref="U6:U63" xr:uid="{A053FA3F-0FAE-4D5B-8ED5-A2D40733BCA7}">
      <formula1>INDIRECT("HouseTypes[House Base]")</formula1>
    </dataValidation>
    <dataValidation type="list" allowBlank="1" showInputMessage="1" showErrorMessage="1" sqref="K6:L63" xr:uid="{A975ECE7-CF4A-4E41-9635-765E08C025F7}">
      <formula1>INDIRECT("YesNo[Yes or No]")</formula1>
    </dataValidation>
    <dataValidation type="list" allowBlank="1" showInputMessage="1" showErrorMessage="1" sqref="C6:C63" xr:uid="{B09E234B-4BBA-46C6-8215-0332C31B79B3}">
      <formula1>INDIRECT("StrNam[Street Name]")</formula1>
    </dataValidation>
    <dataValidation type="list" allowBlank="1" showInputMessage="1" showErrorMessage="1" sqref="B6:B63" xr:uid="{4ED8CEBA-5260-4595-90F8-59234C6145DE}">
      <formula1>INDIRECT("StrNum[Street Number]")</formula1>
    </dataValidation>
    <dataValidation type="list" allowBlank="1" showInputMessage="1" showErrorMessage="1" sqref="M6:M63" xr:uid="{6CC5B4C2-D559-4890-9ED0-1899A265D578}">
      <formula1>INDIRECT("CardDir[Direction]")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1CE6-2AE8-4D6C-AD35-5F8C54BEC477}">
  <dimension ref="A1:S31"/>
  <sheetViews>
    <sheetView workbookViewId="0">
      <selection activeCell="I4" sqref="I4"/>
    </sheetView>
  </sheetViews>
  <sheetFormatPr defaultRowHeight="15" x14ac:dyDescent="0.25"/>
  <cols>
    <col min="1" max="1" width="12.7109375" customWidth="1"/>
    <col min="2" max="2" width="3.140625" customWidth="1"/>
    <col min="3" max="3" width="12.7109375" customWidth="1"/>
    <col min="4" max="4" width="3.28515625" customWidth="1"/>
    <col min="5" max="5" width="13.28515625" customWidth="1"/>
    <col min="6" max="6" width="3" customWidth="1"/>
    <col min="7" max="7" width="11.42578125" customWidth="1"/>
    <col min="8" max="8" width="3" customWidth="1"/>
    <col min="9" max="9" width="14.28515625" customWidth="1"/>
    <col min="10" max="10" width="3.140625" customWidth="1"/>
    <col min="11" max="11" width="16.28515625" customWidth="1"/>
    <col min="12" max="12" width="2.7109375" customWidth="1"/>
    <col min="13" max="13" width="18" bestFit="1" customWidth="1"/>
    <col min="14" max="14" width="3" customWidth="1"/>
    <col min="15" max="15" width="19.140625" bestFit="1" customWidth="1"/>
    <col min="16" max="16" width="3" customWidth="1"/>
    <col min="17" max="17" width="19" customWidth="1"/>
    <col min="18" max="18" width="3.140625" customWidth="1"/>
    <col min="19" max="19" width="15" customWidth="1"/>
    <col min="20" max="20" width="3.42578125" customWidth="1"/>
  </cols>
  <sheetData>
    <row r="1" spans="1:19" x14ac:dyDescent="0.25">
      <c r="A1" t="s">
        <v>5</v>
      </c>
      <c r="C1" t="s">
        <v>5</v>
      </c>
      <c r="E1" t="s">
        <v>13</v>
      </c>
      <c r="G1" t="s">
        <v>35</v>
      </c>
      <c r="I1" t="s">
        <v>26</v>
      </c>
      <c r="K1" t="s">
        <v>25</v>
      </c>
      <c r="M1" t="s">
        <v>45</v>
      </c>
      <c r="O1" t="s">
        <v>48</v>
      </c>
      <c r="Q1" t="s">
        <v>49</v>
      </c>
      <c r="S1" t="s">
        <v>58</v>
      </c>
    </row>
    <row r="2" spans="1:19" x14ac:dyDescent="0.25">
      <c r="A2" t="s">
        <v>14</v>
      </c>
      <c r="E2" t="s">
        <v>20</v>
      </c>
      <c r="G2" t="s">
        <v>36</v>
      </c>
      <c r="I2" t="s">
        <v>117</v>
      </c>
      <c r="K2">
        <v>1234</v>
      </c>
      <c r="M2" t="s">
        <v>83</v>
      </c>
      <c r="O2" t="s">
        <v>55</v>
      </c>
      <c r="Q2" s="1">
        <v>1</v>
      </c>
      <c r="S2" t="s">
        <v>59</v>
      </c>
    </row>
    <row r="3" spans="1:19" x14ac:dyDescent="0.25">
      <c r="A3" t="s">
        <v>15</v>
      </c>
      <c r="E3" t="s">
        <v>19</v>
      </c>
      <c r="G3" t="s">
        <v>37</v>
      </c>
      <c r="I3" t="s">
        <v>118</v>
      </c>
      <c r="M3" t="s">
        <v>84</v>
      </c>
      <c r="O3" t="s">
        <v>51</v>
      </c>
      <c r="Q3" s="1">
        <v>1.33</v>
      </c>
      <c r="S3" t="s">
        <v>60</v>
      </c>
    </row>
    <row r="4" spans="1:19" x14ac:dyDescent="0.25">
      <c r="A4" t="s">
        <v>2</v>
      </c>
      <c r="E4" t="s">
        <v>21</v>
      </c>
      <c r="I4" t="s">
        <v>119</v>
      </c>
      <c r="M4" t="s">
        <v>46</v>
      </c>
      <c r="O4" t="s">
        <v>50</v>
      </c>
      <c r="Q4" s="1">
        <v>1.66</v>
      </c>
      <c r="S4" t="s">
        <v>61</v>
      </c>
    </row>
    <row r="5" spans="1:19" x14ac:dyDescent="0.25">
      <c r="E5" t="s">
        <v>22</v>
      </c>
      <c r="G5" t="s">
        <v>65</v>
      </c>
      <c r="M5" t="s">
        <v>47</v>
      </c>
      <c r="O5" t="s">
        <v>52</v>
      </c>
      <c r="Q5" s="1">
        <v>2</v>
      </c>
    </row>
    <row r="6" spans="1:19" x14ac:dyDescent="0.25">
      <c r="E6" t="s">
        <v>23</v>
      </c>
      <c r="G6" t="s">
        <v>66</v>
      </c>
      <c r="O6" t="s">
        <v>54</v>
      </c>
      <c r="Q6" s="1">
        <v>2.33</v>
      </c>
    </row>
    <row r="7" spans="1:19" x14ac:dyDescent="0.25">
      <c r="G7" t="s">
        <v>76</v>
      </c>
      <c r="O7" t="s">
        <v>53</v>
      </c>
      <c r="Q7" s="1">
        <v>2.66</v>
      </c>
    </row>
    <row r="8" spans="1:19" x14ac:dyDescent="0.25">
      <c r="G8" t="s">
        <v>77</v>
      </c>
      <c r="O8" t="s">
        <v>56</v>
      </c>
      <c r="Q8" s="1">
        <v>4</v>
      </c>
    </row>
    <row r="9" spans="1:19" x14ac:dyDescent="0.25">
      <c r="G9" t="s">
        <v>67</v>
      </c>
      <c r="O9" t="s">
        <v>57</v>
      </c>
      <c r="Q9" s="1">
        <v>4.33</v>
      </c>
    </row>
    <row r="10" spans="1:19" x14ac:dyDescent="0.25">
      <c r="G10" t="s">
        <v>78</v>
      </c>
      <c r="Q10" s="1">
        <v>4.66</v>
      </c>
    </row>
    <row r="11" spans="1:19" x14ac:dyDescent="0.25">
      <c r="G11" t="s">
        <v>79</v>
      </c>
      <c r="Q11" s="1">
        <v>6</v>
      </c>
    </row>
    <row r="12" spans="1:19" x14ac:dyDescent="0.25">
      <c r="G12" t="s">
        <v>68</v>
      </c>
      <c r="Q12" s="1">
        <v>6.33</v>
      </c>
    </row>
    <row r="13" spans="1:19" x14ac:dyDescent="0.25">
      <c r="G13" t="s">
        <v>69</v>
      </c>
      <c r="Q13" s="1">
        <v>6.66</v>
      </c>
    </row>
    <row r="14" spans="1:19" x14ac:dyDescent="0.25">
      <c r="Q14" s="1">
        <v>7</v>
      </c>
    </row>
    <row r="15" spans="1:19" x14ac:dyDescent="0.25">
      <c r="Q15" s="1">
        <v>7.33</v>
      </c>
    </row>
    <row r="16" spans="1:19" x14ac:dyDescent="0.25">
      <c r="Q16" s="1">
        <v>7.66</v>
      </c>
    </row>
    <row r="17" spans="17:17" x14ac:dyDescent="0.25">
      <c r="Q17" s="1">
        <v>8</v>
      </c>
    </row>
    <row r="18" spans="17:17" x14ac:dyDescent="0.25">
      <c r="Q18" s="1">
        <v>8.33</v>
      </c>
    </row>
    <row r="19" spans="17:17" x14ac:dyDescent="0.25">
      <c r="Q19" s="1">
        <v>8.66</v>
      </c>
    </row>
    <row r="20" spans="17:17" x14ac:dyDescent="0.25">
      <c r="Q20" s="1">
        <v>10</v>
      </c>
    </row>
    <row r="21" spans="17:17" x14ac:dyDescent="0.25">
      <c r="Q21" s="1">
        <v>10.33</v>
      </c>
    </row>
    <row r="22" spans="17:17" x14ac:dyDescent="0.25">
      <c r="Q22" s="1">
        <v>10.66</v>
      </c>
    </row>
    <row r="23" spans="17:17" x14ac:dyDescent="0.25">
      <c r="Q23" s="1">
        <v>12</v>
      </c>
    </row>
    <row r="24" spans="17:17" x14ac:dyDescent="0.25">
      <c r="Q24" s="1">
        <v>12.33</v>
      </c>
    </row>
    <row r="25" spans="17:17" x14ac:dyDescent="0.25">
      <c r="Q25" s="1">
        <v>12.66</v>
      </c>
    </row>
    <row r="26" spans="17:17" x14ac:dyDescent="0.25">
      <c r="Q26" s="1">
        <v>14</v>
      </c>
    </row>
    <row r="27" spans="17:17" x14ac:dyDescent="0.25">
      <c r="Q27" s="1">
        <v>14.33</v>
      </c>
    </row>
    <row r="28" spans="17:17" x14ac:dyDescent="0.25">
      <c r="Q28" s="1">
        <v>14.66</v>
      </c>
    </row>
    <row r="29" spans="17:17" x14ac:dyDescent="0.25">
      <c r="Q29" s="1">
        <v>16</v>
      </c>
    </row>
    <row r="30" spans="17:17" x14ac:dyDescent="0.25">
      <c r="Q30" s="1">
        <v>16.329999999999998</v>
      </c>
    </row>
    <row r="31" spans="17:17" x14ac:dyDescent="0.25">
      <c r="Q31" s="1">
        <v>16.66</v>
      </c>
    </row>
  </sheetData>
  <sortState xmlns:xlrd2="http://schemas.microsoft.com/office/spreadsheetml/2017/richdata2" ref="O2:O7">
    <sortCondition ref="O2:O7"/>
  </sortState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7873-B6B3-43F7-A110-BA82E752415F}">
  <dimension ref="A1:E8"/>
  <sheetViews>
    <sheetView workbookViewId="0">
      <selection activeCell="E7" sqref="E7"/>
    </sheetView>
  </sheetViews>
  <sheetFormatPr defaultRowHeight="15" x14ac:dyDescent="0.25"/>
  <cols>
    <col min="1" max="1" width="13.42578125" bestFit="1" customWidth="1"/>
    <col min="2" max="2" width="12.140625" bestFit="1" customWidth="1"/>
    <col min="3" max="3" width="12" bestFit="1" customWidth="1"/>
    <col min="4" max="4" width="12.140625" bestFit="1" customWidth="1"/>
    <col min="5" max="5" width="11.85546875" bestFit="1" customWidth="1"/>
  </cols>
  <sheetData>
    <row r="1" spans="1:5" ht="36" x14ac:dyDescent="0.55000000000000004">
      <c r="A1" s="16" t="s">
        <v>41</v>
      </c>
      <c r="B1" s="16"/>
      <c r="C1" s="16"/>
      <c r="D1" s="16"/>
    </row>
    <row r="3" spans="1:5" x14ac:dyDescent="0.25">
      <c r="A3" t="s">
        <v>13</v>
      </c>
      <c r="B3" t="s">
        <v>42</v>
      </c>
      <c r="C3" t="s">
        <v>43</v>
      </c>
      <c r="D3" t="s">
        <v>62</v>
      </c>
      <c r="E3" t="s">
        <v>87</v>
      </c>
    </row>
    <row r="4" spans="1:5" x14ac:dyDescent="0.25">
      <c r="A4" t="s">
        <v>20</v>
      </c>
      <c r="B4">
        <v>44</v>
      </c>
      <c r="C4">
        <v>80</v>
      </c>
      <c r="D4" t="s">
        <v>83</v>
      </c>
      <c r="E4">
        <v>8</v>
      </c>
    </row>
    <row r="5" spans="1:5" x14ac:dyDescent="0.25">
      <c r="A5" t="s">
        <v>19</v>
      </c>
      <c r="B5">
        <v>40</v>
      </c>
      <c r="C5">
        <v>65</v>
      </c>
      <c r="D5" t="s">
        <v>83</v>
      </c>
      <c r="E5">
        <v>10</v>
      </c>
    </row>
    <row r="6" spans="1:5" x14ac:dyDescent="0.25">
      <c r="A6" t="s">
        <v>21</v>
      </c>
      <c r="B6">
        <v>40</v>
      </c>
      <c r="C6">
        <v>78.33</v>
      </c>
      <c r="D6" t="s">
        <v>83</v>
      </c>
      <c r="E6">
        <v>10</v>
      </c>
    </row>
    <row r="7" spans="1:5" x14ac:dyDescent="0.25">
      <c r="A7" t="s">
        <v>22</v>
      </c>
      <c r="B7">
        <v>45.66</v>
      </c>
      <c r="C7">
        <v>72.33</v>
      </c>
      <c r="D7" t="s">
        <v>84</v>
      </c>
      <c r="E7">
        <v>7.33</v>
      </c>
    </row>
    <row r="8" spans="1:5" x14ac:dyDescent="0.25">
      <c r="A8" t="s">
        <v>23</v>
      </c>
      <c r="B8">
        <v>40</v>
      </c>
      <c r="C8">
        <v>75</v>
      </c>
      <c r="D8" t="s">
        <v>84</v>
      </c>
      <c r="E8">
        <v>10</v>
      </c>
    </row>
  </sheetData>
  <mergeCells count="1">
    <mergeCell ref="A1:D1"/>
  </mergeCells>
  <phoneticPr fontId="8" type="noConversion"/>
  <dataValidations count="3">
    <dataValidation type="list" allowBlank="1" showInputMessage="1" showErrorMessage="1" sqref="A4:A8" xr:uid="{743290DA-FAEF-4656-8976-F20E39195931}">
      <formula1>INDIRECT("HouseTypes[House Base]")</formula1>
    </dataValidation>
    <dataValidation type="list" allowBlank="1" showInputMessage="1" showErrorMessage="1" sqref="D4:D8" xr:uid="{76FF6D3D-2F32-4C10-B63F-F0201EA9F9D7}">
      <formula1>INDIRECT("OptFtPrt[Option Locations]")</formula1>
    </dataValidation>
    <dataValidation type="list" allowBlank="1" showInputMessage="1" showErrorMessage="1" sqref="E4:E8" xr:uid="{B800E5A4-D638-476E-90B9-C968B3D3E7F1}">
      <formula1>INDIRECT("AddLng[Additional Length]")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004C-8E14-4565-B12D-B9DBCF626E2E}">
  <dimension ref="A1:V67"/>
  <sheetViews>
    <sheetView zoomScale="90" zoomScaleNormal="90" workbookViewId="0">
      <selection activeCell="S61" sqref="S61:S67"/>
    </sheetView>
  </sheetViews>
  <sheetFormatPr defaultRowHeight="15" x14ac:dyDescent="0.25"/>
  <cols>
    <col min="1" max="1" width="15.7109375" bestFit="1" customWidth="1"/>
    <col min="2" max="2" width="19.140625" bestFit="1" customWidth="1"/>
    <col min="3" max="3" width="19" bestFit="1" customWidth="1"/>
    <col min="4" max="4" width="16.85546875" bestFit="1" customWidth="1"/>
    <col min="5" max="5" width="16.140625" bestFit="1" customWidth="1"/>
    <col min="6" max="6" width="23" bestFit="1" customWidth="1"/>
    <col min="7" max="7" width="19" bestFit="1" customWidth="1"/>
    <col min="8" max="8" width="22.42578125" bestFit="1" customWidth="1"/>
    <col min="9" max="9" width="20" bestFit="1" customWidth="1"/>
    <col min="10" max="10" width="20.140625" bestFit="1" customWidth="1"/>
    <col min="11" max="11" width="22.7109375" bestFit="1" customWidth="1"/>
    <col min="12" max="12" width="20.28515625" bestFit="1" customWidth="1"/>
    <col min="13" max="13" width="19.42578125" bestFit="1" customWidth="1"/>
    <col min="14" max="14" width="22.7109375" bestFit="1" customWidth="1"/>
    <col min="15" max="15" width="14.42578125" bestFit="1" customWidth="1"/>
    <col min="16" max="16" width="20.28515625" bestFit="1" customWidth="1"/>
    <col min="17" max="17" width="15.140625" bestFit="1" customWidth="1"/>
    <col min="18" max="18" width="22.5703125" bestFit="1" customWidth="1"/>
    <col min="19" max="19" width="13.5703125" customWidth="1"/>
    <col min="20" max="20" width="22.42578125" bestFit="1" customWidth="1"/>
    <col min="21" max="21" width="16" bestFit="1" customWidth="1"/>
    <col min="22" max="22" width="15.85546875" bestFit="1" customWidth="1"/>
  </cols>
  <sheetData>
    <row r="1" spans="1:22" ht="36" x14ac:dyDescent="0.55000000000000004">
      <c r="A1" s="16" t="s">
        <v>38</v>
      </c>
      <c r="B1" s="16"/>
    </row>
    <row r="5" spans="1:22" x14ac:dyDescent="0.25">
      <c r="A5" s="1" t="s">
        <v>13</v>
      </c>
      <c r="B5" s="1" t="s">
        <v>39</v>
      </c>
      <c r="C5" s="1" t="s">
        <v>40</v>
      </c>
      <c r="D5" s="1" t="s">
        <v>44</v>
      </c>
      <c r="E5" s="1" t="s">
        <v>85</v>
      </c>
      <c r="F5" s="1" t="s">
        <v>93</v>
      </c>
      <c r="G5" s="1" t="s">
        <v>86</v>
      </c>
      <c r="H5" s="1" t="s">
        <v>94</v>
      </c>
      <c r="I5" s="1" t="s">
        <v>99</v>
      </c>
      <c r="J5" s="1" t="s">
        <v>88</v>
      </c>
      <c r="K5" s="1" t="s">
        <v>95</v>
      </c>
      <c r="L5" s="1" t="s">
        <v>100</v>
      </c>
      <c r="M5" s="1" t="s">
        <v>90</v>
      </c>
      <c r="N5" s="1" t="s">
        <v>96</v>
      </c>
      <c r="O5" s="1" t="s">
        <v>102</v>
      </c>
      <c r="P5" s="1" t="s">
        <v>101</v>
      </c>
      <c r="Q5" s="1" t="s">
        <v>91</v>
      </c>
      <c r="R5" s="1" t="s">
        <v>97</v>
      </c>
      <c r="S5" t="s">
        <v>92</v>
      </c>
      <c r="T5" s="1" t="s">
        <v>98</v>
      </c>
      <c r="U5" s="1" t="s">
        <v>103</v>
      </c>
      <c r="V5" s="1" t="s">
        <v>104</v>
      </c>
    </row>
    <row r="6" spans="1:22" x14ac:dyDescent="0.25">
      <c r="A6" s="1" t="s">
        <v>20</v>
      </c>
      <c r="B6" s="1">
        <f>_xlfn.XLOOKUP(A6,BaseHouse[House Base],BaseHouse[Width (ft)],"",0,1)</f>
        <v>44</v>
      </c>
      <c r="C6" s="1">
        <f>_xlfn.XLOOKUP(A6,BaseHouse[House Base],BaseHouse[Depth (ft)],"",0,1)</f>
        <v>80</v>
      </c>
      <c r="D6" s="1" t="s">
        <v>37</v>
      </c>
      <c r="E6" s="1" t="str">
        <f>IF(D6="Yes",_xlfn.XLOOKUP(A6,BaseHouse[House Base],BaseHouse[3-Car Side],,0,1),"N/A")</f>
        <v>N/A</v>
      </c>
      <c r="F6" s="1" t="str">
        <f>IF(D6="Yes",_xlfn.XLOOKUP(A6,BaseHouse[House Base],BaseHouse[3-Car Dim],,0,1),"N/A")</f>
        <v>N/A</v>
      </c>
      <c r="G6" s="1" t="s">
        <v>37</v>
      </c>
      <c r="H6" s="1"/>
      <c r="I6" s="1" t="str">
        <f t="shared" ref="I6:I32" si="0">IF(E6="Left","Yes","No")</f>
        <v>No</v>
      </c>
      <c r="J6" s="1" t="s">
        <v>37</v>
      </c>
      <c r="K6" s="1"/>
      <c r="L6" s="1" t="str">
        <f t="shared" ref="L6:L32" si="1">IF(E6="Right","Yes","No")</f>
        <v>No</v>
      </c>
      <c r="M6" s="1" t="s">
        <v>37</v>
      </c>
      <c r="N6" s="1"/>
      <c r="O6" s="1"/>
      <c r="P6" s="1" t="str">
        <f t="shared" ref="P6:P32" si="2">IF(O6=E6,"Yes","No")</f>
        <v>No</v>
      </c>
      <c r="Q6" s="1" t="s">
        <v>37</v>
      </c>
      <c r="R6" s="1"/>
      <c r="S6" s="1" t="s">
        <v>37</v>
      </c>
      <c r="T6" s="1"/>
      <c r="U6" s="1">
        <f t="shared" ref="U6:U32" si="3">SUM(B6,IF(D6="Yes",F6,),IF(I6="Yes",,H6),IF(L6="Yes",,K6),IF(P6="Yes",,N6))</f>
        <v>44</v>
      </c>
      <c r="V6" s="1">
        <f t="shared" ref="V6:V32" si="4">SUM(C6,IF(Q6="Yes",R6,),IF(S6="Yes",T6,))</f>
        <v>80</v>
      </c>
    </row>
    <row r="7" spans="1:22" x14ac:dyDescent="0.25">
      <c r="A7" s="1" t="s">
        <v>20</v>
      </c>
      <c r="B7" s="1">
        <f>_xlfn.XLOOKUP(A7,BaseHouse[House Base],BaseHouse[Width (ft)],"",0,1)</f>
        <v>44</v>
      </c>
      <c r="C7" s="1">
        <f>_xlfn.XLOOKUP(A7,BaseHouse[House Base],BaseHouse[Depth (ft)],"",0,1)</f>
        <v>80</v>
      </c>
      <c r="D7" s="1" t="s">
        <v>37</v>
      </c>
      <c r="E7" s="1" t="str">
        <f>IF(D7="Yes",_xlfn.XLOOKUP(A7,BaseHouse[House Base],BaseHouse[3-Car Side],,0,1),"N/A")</f>
        <v>N/A</v>
      </c>
      <c r="F7" s="1" t="str">
        <f>IF(D7="Yes",_xlfn.XLOOKUP(A7,BaseHouse[House Base],BaseHouse[3-Car Dim],,0,1),"N/A")</f>
        <v>N/A</v>
      </c>
      <c r="G7" s="1" t="s">
        <v>36</v>
      </c>
      <c r="H7" s="1">
        <v>2</v>
      </c>
      <c r="I7" s="1" t="str">
        <f t="shared" si="0"/>
        <v>No</v>
      </c>
      <c r="J7" s="1" t="s">
        <v>37</v>
      </c>
      <c r="K7" s="1"/>
      <c r="L7" s="1" t="str">
        <f t="shared" si="1"/>
        <v>No</v>
      </c>
      <c r="M7" s="1" t="s">
        <v>37</v>
      </c>
      <c r="N7" s="1"/>
      <c r="O7" s="1"/>
      <c r="P7" s="1" t="str">
        <f t="shared" si="2"/>
        <v>No</v>
      </c>
      <c r="Q7" s="1" t="s">
        <v>37</v>
      </c>
      <c r="R7" s="1"/>
      <c r="S7" s="1" t="s">
        <v>37</v>
      </c>
      <c r="T7" s="1"/>
      <c r="U7" s="1">
        <f t="shared" si="3"/>
        <v>46</v>
      </c>
      <c r="V7" s="1">
        <f t="shared" si="4"/>
        <v>80</v>
      </c>
    </row>
    <row r="8" spans="1:22" x14ac:dyDescent="0.25">
      <c r="A8" s="1" t="s">
        <v>20</v>
      </c>
      <c r="B8" s="1">
        <f>_xlfn.XLOOKUP(A8,BaseHouse[House Base],BaseHouse[Width (ft)],"",0,1)</f>
        <v>44</v>
      </c>
      <c r="C8" s="1">
        <f>_xlfn.XLOOKUP(A8,BaseHouse[House Base],BaseHouse[Depth (ft)],"",0,1)</f>
        <v>80</v>
      </c>
      <c r="D8" s="1" t="s">
        <v>37</v>
      </c>
      <c r="E8" s="1" t="str">
        <f>IF(D8="Yes",_xlfn.XLOOKUP(A8,BaseHouse[House Base],BaseHouse[3-Car Side],,0,1),"N/A")</f>
        <v>N/A</v>
      </c>
      <c r="F8" s="1" t="str">
        <f>IF(D8="Yes",_xlfn.XLOOKUP(A8,BaseHouse[House Base],BaseHouse[3-Car Dim],,0,1),"N/A")</f>
        <v>N/A</v>
      </c>
      <c r="G8" s="1" t="s">
        <v>36</v>
      </c>
      <c r="H8" s="1">
        <v>4</v>
      </c>
      <c r="I8" s="1" t="str">
        <f t="shared" si="0"/>
        <v>No</v>
      </c>
      <c r="J8" s="1" t="s">
        <v>37</v>
      </c>
      <c r="K8" s="1"/>
      <c r="L8" s="1" t="str">
        <f t="shared" si="1"/>
        <v>No</v>
      </c>
      <c r="M8" s="1" t="s">
        <v>37</v>
      </c>
      <c r="N8" s="1"/>
      <c r="O8" s="1"/>
      <c r="P8" s="1" t="str">
        <f t="shared" si="2"/>
        <v>No</v>
      </c>
      <c r="Q8" s="1" t="s">
        <v>37</v>
      </c>
      <c r="R8" s="1"/>
      <c r="S8" s="1" t="s">
        <v>37</v>
      </c>
      <c r="T8" s="1"/>
      <c r="U8" s="1">
        <f t="shared" si="3"/>
        <v>48</v>
      </c>
      <c r="V8" s="1">
        <f t="shared" si="4"/>
        <v>80</v>
      </c>
    </row>
    <row r="9" spans="1:22" x14ac:dyDescent="0.25">
      <c r="A9" s="1" t="s">
        <v>20</v>
      </c>
      <c r="B9" s="1">
        <f>_xlfn.XLOOKUP(A9,BaseHouse[House Base],BaseHouse[Width (ft)],"",0,1)</f>
        <v>44</v>
      </c>
      <c r="C9" s="1">
        <f>_xlfn.XLOOKUP(A9,BaseHouse[House Base],BaseHouse[Depth (ft)],"",0,1)</f>
        <v>80</v>
      </c>
      <c r="D9" s="1" t="s">
        <v>36</v>
      </c>
      <c r="E9" s="1" t="str">
        <f>IF(D9="Yes",_xlfn.XLOOKUP(A9,BaseHouse[House Base],BaseHouse[3-Car Side],,0,1),"N/A")</f>
        <v>Left</v>
      </c>
      <c r="F9" s="1">
        <f>IF(D9="Yes",_xlfn.XLOOKUP(A9,BaseHouse[House Base],BaseHouse[3-Car Dim],,0,1),"N/A")</f>
        <v>8</v>
      </c>
      <c r="G9" s="1" t="s">
        <v>37</v>
      </c>
      <c r="H9" s="1"/>
      <c r="I9" s="1" t="str">
        <f t="shared" si="0"/>
        <v>Yes</v>
      </c>
      <c r="J9" s="1" t="s">
        <v>37</v>
      </c>
      <c r="K9" s="1"/>
      <c r="L9" s="1" t="str">
        <f t="shared" si="1"/>
        <v>No</v>
      </c>
      <c r="M9" s="1" t="s">
        <v>37</v>
      </c>
      <c r="N9" s="1"/>
      <c r="O9" s="1"/>
      <c r="P9" s="1" t="str">
        <f t="shared" si="2"/>
        <v>No</v>
      </c>
      <c r="Q9" s="1" t="s">
        <v>37</v>
      </c>
      <c r="R9" s="1"/>
      <c r="S9" s="1" t="s">
        <v>37</v>
      </c>
      <c r="T9" s="1"/>
      <c r="U9" s="1">
        <f t="shared" si="3"/>
        <v>52</v>
      </c>
      <c r="V9" s="1">
        <f t="shared" si="4"/>
        <v>80</v>
      </c>
    </row>
    <row r="10" spans="1:22" x14ac:dyDescent="0.25">
      <c r="A10" s="1" t="s">
        <v>20</v>
      </c>
      <c r="B10" s="1">
        <f>_xlfn.XLOOKUP(A10,BaseHouse[House Base],BaseHouse[Width (ft)],"",0,1)</f>
        <v>44</v>
      </c>
      <c r="C10" s="1">
        <f>_xlfn.XLOOKUP(A10,BaseHouse[House Base],BaseHouse[Depth (ft)],"",0,1)</f>
        <v>80</v>
      </c>
      <c r="D10" s="1" t="s">
        <v>36</v>
      </c>
      <c r="E10" s="1" t="str">
        <f>IF(D10="Yes",_xlfn.XLOOKUP(A10,BaseHouse[House Base],BaseHouse[3-Car Side],,0,1),"N/A")</f>
        <v>Left</v>
      </c>
      <c r="F10" s="1">
        <f>IF(D10="Yes",_xlfn.XLOOKUP(A10,BaseHouse[House Base],BaseHouse[3-Car Dim],,0,1),"N/A")</f>
        <v>8</v>
      </c>
      <c r="G10" s="1" t="s">
        <v>36</v>
      </c>
      <c r="H10" s="1">
        <v>2</v>
      </c>
      <c r="I10" s="1" t="str">
        <f t="shared" si="0"/>
        <v>Yes</v>
      </c>
      <c r="J10" s="1" t="s">
        <v>37</v>
      </c>
      <c r="K10" s="1"/>
      <c r="L10" s="1" t="str">
        <f t="shared" si="1"/>
        <v>No</v>
      </c>
      <c r="M10" s="1" t="s">
        <v>37</v>
      </c>
      <c r="N10" s="1"/>
      <c r="O10" s="1"/>
      <c r="P10" s="1" t="str">
        <f t="shared" si="2"/>
        <v>No</v>
      </c>
      <c r="Q10" s="1" t="s">
        <v>37</v>
      </c>
      <c r="R10" s="1"/>
      <c r="S10" s="1" t="s">
        <v>37</v>
      </c>
      <c r="T10" s="1"/>
      <c r="U10" s="1">
        <f t="shared" si="3"/>
        <v>52</v>
      </c>
      <c r="V10" s="1">
        <f t="shared" si="4"/>
        <v>80</v>
      </c>
    </row>
    <row r="11" spans="1:22" x14ac:dyDescent="0.25">
      <c r="A11" s="1" t="s">
        <v>20</v>
      </c>
      <c r="B11" s="1">
        <f>_xlfn.XLOOKUP(A11,BaseHouse[House Base],BaseHouse[Width (ft)],"",0,1)</f>
        <v>44</v>
      </c>
      <c r="C11" s="1">
        <f>_xlfn.XLOOKUP(A11,BaseHouse[House Base],BaseHouse[Depth (ft)],"",0,1)</f>
        <v>80</v>
      </c>
      <c r="D11" s="1" t="s">
        <v>36</v>
      </c>
      <c r="E11" s="1" t="str">
        <f>IF(D11="Yes",_xlfn.XLOOKUP(A11,BaseHouse[House Base],BaseHouse[3-Car Side],,0,1),"N/A")</f>
        <v>Left</v>
      </c>
      <c r="F11" s="1">
        <f>IF(D11="Yes",_xlfn.XLOOKUP(A11,BaseHouse[House Base],BaseHouse[3-Car Dim],,0,1),"N/A")</f>
        <v>8</v>
      </c>
      <c r="G11" s="1" t="s">
        <v>36</v>
      </c>
      <c r="H11" s="1">
        <v>4</v>
      </c>
      <c r="I11" s="1" t="str">
        <f t="shared" si="0"/>
        <v>Yes</v>
      </c>
      <c r="J11" s="1" t="s">
        <v>37</v>
      </c>
      <c r="K11" s="1"/>
      <c r="L11" s="1" t="str">
        <f t="shared" si="1"/>
        <v>No</v>
      </c>
      <c r="M11" s="1" t="s">
        <v>37</v>
      </c>
      <c r="N11" s="1"/>
      <c r="O11" s="1"/>
      <c r="P11" s="1" t="str">
        <f t="shared" si="2"/>
        <v>No</v>
      </c>
      <c r="Q11" s="1" t="s">
        <v>37</v>
      </c>
      <c r="R11" s="1"/>
      <c r="S11" s="1" t="s">
        <v>37</v>
      </c>
      <c r="T11" s="1"/>
      <c r="U11" s="1">
        <f t="shared" si="3"/>
        <v>52</v>
      </c>
      <c r="V11" s="1">
        <f t="shared" si="4"/>
        <v>80</v>
      </c>
    </row>
    <row r="12" spans="1:22" x14ac:dyDescent="0.25">
      <c r="A12" s="1" t="s">
        <v>21</v>
      </c>
      <c r="B12" s="1">
        <f>_xlfn.XLOOKUP(A12,BaseHouse[House Base],BaseHouse[Width (ft)],"",0,1)</f>
        <v>40</v>
      </c>
      <c r="C12" s="1">
        <f>_xlfn.XLOOKUP(A12,BaseHouse[House Base],BaseHouse[Depth (ft)],"",0,1)</f>
        <v>78.33</v>
      </c>
      <c r="D12" s="1" t="s">
        <v>37</v>
      </c>
      <c r="E12" s="1" t="str">
        <f>IF(D12="Yes",_xlfn.XLOOKUP(A12,BaseHouse[House Base],BaseHouse[3-Car Side],,0,1),"N/A")</f>
        <v>N/A</v>
      </c>
      <c r="F12" s="1" t="str">
        <f>IF(D12="Yes",_xlfn.XLOOKUP(A12,BaseHouse[House Base],BaseHouse[3-Car Dim],,0,1),"N/A")</f>
        <v>N/A</v>
      </c>
      <c r="G12" s="1" t="s">
        <v>37</v>
      </c>
      <c r="H12" s="1"/>
      <c r="I12" s="1" t="str">
        <f t="shared" si="0"/>
        <v>No</v>
      </c>
      <c r="J12" s="1" t="s">
        <v>37</v>
      </c>
      <c r="K12" s="1"/>
      <c r="L12" s="1" t="str">
        <f t="shared" si="1"/>
        <v>No</v>
      </c>
      <c r="M12" s="1" t="s">
        <v>37</v>
      </c>
      <c r="N12" s="1"/>
      <c r="O12" s="1"/>
      <c r="P12" s="1" t="str">
        <f t="shared" si="2"/>
        <v>No</v>
      </c>
      <c r="Q12" s="1" t="s">
        <v>37</v>
      </c>
      <c r="R12" s="1"/>
      <c r="S12" s="1" t="s">
        <v>37</v>
      </c>
      <c r="T12" s="1"/>
      <c r="U12" s="1">
        <f t="shared" si="3"/>
        <v>40</v>
      </c>
      <c r="V12" s="1">
        <f t="shared" si="4"/>
        <v>78.33</v>
      </c>
    </row>
    <row r="13" spans="1:22" x14ac:dyDescent="0.25">
      <c r="A13" s="1" t="s">
        <v>21</v>
      </c>
      <c r="B13" s="1">
        <f>_xlfn.XLOOKUP(A13,BaseHouse[House Base],BaseHouse[Width (ft)],"",0,1)</f>
        <v>40</v>
      </c>
      <c r="C13" s="1">
        <f>_xlfn.XLOOKUP(A13,BaseHouse[House Base],BaseHouse[Depth (ft)],"",0,1)</f>
        <v>78.33</v>
      </c>
      <c r="D13" s="1" t="s">
        <v>37</v>
      </c>
      <c r="E13" s="1" t="str">
        <f>IF(D13="Yes",_xlfn.XLOOKUP(A13,BaseHouse[House Base],BaseHouse[3-Car Side],,0,1),"N/A")</f>
        <v>N/A</v>
      </c>
      <c r="F13" s="1" t="str">
        <f>IF(D13="Yes",_xlfn.XLOOKUP(A13,BaseHouse[House Base],BaseHouse[3-Car Dim],,0,1),"N/A")</f>
        <v>N/A</v>
      </c>
      <c r="G13" s="1" t="s">
        <v>36</v>
      </c>
      <c r="H13" s="1">
        <v>2</v>
      </c>
      <c r="I13" s="1" t="str">
        <f t="shared" si="0"/>
        <v>No</v>
      </c>
      <c r="J13" s="1" t="s">
        <v>37</v>
      </c>
      <c r="K13" s="1"/>
      <c r="L13" s="1" t="str">
        <f t="shared" si="1"/>
        <v>No</v>
      </c>
      <c r="M13" s="1" t="s">
        <v>37</v>
      </c>
      <c r="N13" s="1"/>
      <c r="O13" s="1"/>
      <c r="P13" s="1" t="str">
        <f t="shared" si="2"/>
        <v>No</v>
      </c>
      <c r="Q13" s="1" t="s">
        <v>37</v>
      </c>
      <c r="R13" s="1"/>
      <c r="S13" s="1" t="s">
        <v>37</v>
      </c>
      <c r="T13" s="1"/>
      <c r="U13" s="1">
        <f t="shared" si="3"/>
        <v>42</v>
      </c>
      <c r="V13" s="1">
        <f t="shared" si="4"/>
        <v>78.33</v>
      </c>
    </row>
    <row r="14" spans="1:22" x14ac:dyDescent="0.25">
      <c r="A14" s="1" t="s">
        <v>21</v>
      </c>
      <c r="B14" s="1">
        <f>_xlfn.XLOOKUP(A14,BaseHouse[House Base],BaseHouse[Width (ft)],"",0,1)</f>
        <v>40</v>
      </c>
      <c r="C14" s="1">
        <f>_xlfn.XLOOKUP(A14,BaseHouse[House Base],BaseHouse[Depth (ft)],"",0,1)</f>
        <v>78.33</v>
      </c>
      <c r="D14" s="1" t="s">
        <v>37</v>
      </c>
      <c r="E14" s="1" t="str">
        <f>IF(D14="Yes",_xlfn.XLOOKUP(A14,BaseHouse[House Base],BaseHouse[3-Car Side],,0,1),"N/A")</f>
        <v>N/A</v>
      </c>
      <c r="F14" s="1" t="str">
        <f>IF(D14="Yes",_xlfn.XLOOKUP(A14,BaseHouse[House Base],BaseHouse[3-Car Dim],,0,1),"N/A")</f>
        <v>N/A</v>
      </c>
      <c r="G14" s="1" t="s">
        <v>36</v>
      </c>
      <c r="H14" s="1">
        <v>4</v>
      </c>
      <c r="I14" s="1" t="str">
        <f t="shared" si="0"/>
        <v>No</v>
      </c>
      <c r="J14" s="1" t="s">
        <v>37</v>
      </c>
      <c r="K14" s="1"/>
      <c r="L14" s="1" t="str">
        <f t="shared" si="1"/>
        <v>No</v>
      </c>
      <c r="M14" s="1" t="s">
        <v>37</v>
      </c>
      <c r="N14" s="1"/>
      <c r="O14" s="1"/>
      <c r="P14" s="1" t="str">
        <f t="shared" si="2"/>
        <v>No</v>
      </c>
      <c r="Q14" s="1" t="s">
        <v>37</v>
      </c>
      <c r="R14" s="1"/>
      <c r="S14" s="1" t="s">
        <v>37</v>
      </c>
      <c r="T14" s="1"/>
      <c r="U14" s="1">
        <f t="shared" si="3"/>
        <v>44</v>
      </c>
      <c r="V14" s="1">
        <f t="shared" si="4"/>
        <v>78.33</v>
      </c>
    </row>
    <row r="15" spans="1:22" x14ac:dyDescent="0.25">
      <c r="A15" s="1" t="s">
        <v>21</v>
      </c>
      <c r="B15" s="1">
        <f>_xlfn.XLOOKUP(A15,BaseHouse[House Base],BaseHouse[Width (ft)],"",0,1)</f>
        <v>40</v>
      </c>
      <c r="C15" s="1">
        <f>_xlfn.XLOOKUP(A15,BaseHouse[House Base],BaseHouse[Depth (ft)],"",0,1)</f>
        <v>78.33</v>
      </c>
      <c r="D15" s="1" t="s">
        <v>37</v>
      </c>
      <c r="E15" s="1" t="str">
        <f>IF(D15="Yes",_xlfn.XLOOKUP(A15,BaseHouse[House Base],BaseHouse[3-Car Side],,0,1),"N/A")</f>
        <v>N/A</v>
      </c>
      <c r="F15" s="1" t="str">
        <f>IF(D15="Yes",_xlfn.XLOOKUP(A15,BaseHouse[House Base],BaseHouse[3-Car Dim],,0,1),"N/A")</f>
        <v>N/A</v>
      </c>
      <c r="G15" s="1" t="s">
        <v>37</v>
      </c>
      <c r="H15" s="1"/>
      <c r="I15" s="1" t="str">
        <f t="shared" si="0"/>
        <v>No</v>
      </c>
      <c r="J15" s="1" t="s">
        <v>37</v>
      </c>
      <c r="K15" s="1"/>
      <c r="L15" s="1" t="str">
        <f t="shared" si="1"/>
        <v>No</v>
      </c>
      <c r="M15" s="1" t="s">
        <v>37</v>
      </c>
      <c r="N15" s="1"/>
      <c r="O15" s="1"/>
      <c r="P15" s="1" t="str">
        <f t="shared" si="2"/>
        <v>No</v>
      </c>
      <c r="Q15" s="1" t="s">
        <v>36</v>
      </c>
      <c r="R15" s="1">
        <v>1.66</v>
      </c>
      <c r="S15" s="1" t="s">
        <v>37</v>
      </c>
      <c r="T15" s="1"/>
      <c r="U15" s="1">
        <f t="shared" si="3"/>
        <v>40</v>
      </c>
      <c r="V15" s="1">
        <f t="shared" si="4"/>
        <v>79.989999999999995</v>
      </c>
    </row>
    <row r="16" spans="1:22" x14ac:dyDescent="0.25">
      <c r="A16" s="1" t="s">
        <v>21</v>
      </c>
      <c r="B16" s="1">
        <f>_xlfn.XLOOKUP(A16,BaseHouse[House Base],BaseHouse[Width (ft)],"",0,1)</f>
        <v>40</v>
      </c>
      <c r="C16" s="1">
        <f>_xlfn.XLOOKUP(A16,BaseHouse[House Base],BaseHouse[Depth (ft)],"",0,1)</f>
        <v>78.33</v>
      </c>
      <c r="D16" s="1" t="s">
        <v>37</v>
      </c>
      <c r="E16" s="1" t="str">
        <f>IF(D16="Yes",_xlfn.XLOOKUP(A16,BaseHouse[House Base],BaseHouse[3-Car Side],,0,1),"N/A")</f>
        <v>N/A</v>
      </c>
      <c r="F16" s="1" t="str">
        <f>IF(D16="Yes",_xlfn.XLOOKUP(A16,BaseHouse[House Base],BaseHouse[3-Car Dim],,0,1),"N/A")</f>
        <v>N/A</v>
      </c>
      <c r="G16" s="1" t="s">
        <v>36</v>
      </c>
      <c r="H16" s="1">
        <v>2</v>
      </c>
      <c r="I16" s="1" t="str">
        <f t="shared" si="0"/>
        <v>No</v>
      </c>
      <c r="J16" s="1" t="s">
        <v>37</v>
      </c>
      <c r="K16" s="1"/>
      <c r="L16" s="1" t="str">
        <f t="shared" si="1"/>
        <v>No</v>
      </c>
      <c r="M16" s="1" t="s">
        <v>37</v>
      </c>
      <c r="N16" s="1"/>
      <c r="O16" s="1"/>
      <c r="P16" s="1" t="str">
        <f t="shared" si="2"/>
        <v>No</v>
      </c>
      <c r="Q16" s="1" t="s">
        <v>36</v>
      </c>
      <c r="R16" s="1">
        <v>1.66</v>
      </c>
      <c r="S16" s="1" t="s">
        <v>37</v>
      </c>
      <c r="T16" s="1"/>
      <c r="U16" s="1">
        <f t="shared" si="3"/>
        <v>42</v>
      </c>
      <c r="V16" s="1">
        <f t="shared" si="4"/>
        <v>79.989999999999995</v>
      </c>
    </row>
    <row r="17" spans="1:22" x14ac:dyDescent="0.25">
      <c r="A17" s="1" t="s">
        <v>21</v>
      </c>
      <c r="B17" s="1">
        <f>_xlfn.XLOOKUP(A17,BaseHouse[House Base],BaseHouse[Width (ft)],"",0,1)</f>
        <v>40</v>
      </c>
      <c r="C17" s="1">
        <f>_xlfn.XLOOKUP(A17,BaseHouse[House Base],BaseHouse[Depth (ft)],"",0,1)</f>
        <v>78.33</v>
      </c>
      <c r="D17" s="1" t="s">
        <v>37</v>
      </c>
      <c r="E17" s="1" t="str">
        <f>IF(D17="Yes",_xlfn.XLOOKUP(A17,BaseHouse[House Base],BaseHouse[3-Car Side],,0,1),"N/A")</f>
        <v>N/A</v>
      </c>
      <c r="F17" s="1" t="str">
        <f>IF(D17="Yes",_xlfn.XLOOKUP(A17,BaseHouse[House Base],BaseHouse[3-Car Dim],,0,1),"N/A")</f>
        <v>N/A</v>
      </c>
      <c r="G17" s="1" t="s">
        <v>36</v>
      </c>
      <c r="H17" s="1">
        <v>4</v>
      </c>
      <c r="I17" s="1" t="str">
        <f t="shared" si="0"/>
        <v>No</v>
      </c>
      <c r="J17" s="1" t="s">
        <v>37</v>
      </c>
      <c r="K17" s="1"/>
      <c r="L17" s="1" t="str">
        <f t="shared" si="1"/>
        <v>No</v>
      </c>
      <c r="M17" s="1" t="s">
        <v>37</v>
      </c>
      <c r="N17" s="1"/>
      <c r="O17" s="1"/>
      <c r="P17" s="1" t="str">
        <f t="shared" si="2"/>
        <v>No</v>
      </c>
      <c r="Q17" s="1" t="s">
        <v>36</v>
      </c>
      <c r="R17" s="1">
        <v>1.66</v>
      </c>
      <c r="S17" s="1" t="s">
        <v>37</v>
      </c>
      <c r="T17" s="1"/>
      <c r="U17" s="1">
        <f t="shared" si="3"/>
        <v>44</v>
      </c>
      <c r="V17" s="1">
        <f t="shared" si="4"/>
        <v>79.989999999999995</v>
      </c>
    </row>
    <row r="18" spans="1:22" x14ac:dyDescent="0.25">
      <c r="A18" s="1" t="s">
        <v>21</v>
      </c>
      <c r="B18" s="1">
        <f>_xlfn.XLOOKUP(A18,BaseHouse[House Base],BaseHouse[Width (ft)],"",0,1)</f>
        <v>40</v>
      </c>
      <c r="C18" s="1">
        <f>_xlfn.XLOOKUP(A18,BaseHouse[House Base],BaseHouse[Depth (ft)],"",0,1)</f>
        <v>78.33</v>
      </c>
      <c r="D18" s="1" t="s">
        <v>36</v>
      </c>
      <c r="E18" s="1" t="str">
        <f>IF(D18="Yes",_xlfn.XLOOKUP(A18,BaseHouse[House Base],BaseHouse[3-Car Side],,0,1),"N/A")</f>
        <v>Left</v>
      </c>
      <c r="F18" s="1">
        <f>IF(D18="Yes",_xlfn.XLOOKUP(A18,BaseHouse[House Base],BaseHouse[3-Car Dim],,0,1),"N/A")</f>
        <v>10</v>
      </c>
      <c r="G18" s="1" t="s">
        <v>37</v>
      </c>
      <c r="H18" s="1"/>
      <c r="I18" s="1" t="str">
        <f t="shared" si="0"/>
        <v>Yes</v>
      </c>
      <c r="J18" s="1" t="s">
        <v>37</v>
      </c>
      <c r="K18" s="1"/>
      <c r="L18" s="1" t="str">
        <f t="shared" si="1"/>
        <v>No</v>
      </c>
      <c r="M18" s="1" t="s">
        <v>37</v>
      </c>
      <c r="N18" s="1"/>
      <c r="O18" s="1"/>
      <c r="P18" s="1" t="str">
        <f t="shared" si="2"/>
        <v>No</v>
      </c>
      <c r="Q18" s="1" t="s">
        <v>37</v>
      </c>
      <c r="R18" s="1"/>
      <c r="S18" s="1" t="s">
        <v>37</v>
      </c>
      <c r="T18" s="1"/>
      <c r="U18" s="1">
        <f t="shared" si="3"/>
        <v>50</v>
      </c>
      <c r="V18" s="1">
        <f t="shared" si="4"/>
        <v>78.33</v>
      </c>
    </row>
    <row r="19" spans="1:22" x14ac:dyDescent="0.25">
      <c r="A19" s="1" t="s">
        <v>21</v>
      </c>
      <c r="B19" s="1">
        <f>_xlfn.XLOOKUP(A19,BaseHouse[House Base],BaseHouse[Width (ft)],"",0,1)</f>
        <v>40</v>
      </c>
      <c r="C19" s="1">
        <f>_xlfn.XLOOKUP(A19,BaseHouse[House Base],BaseHouse[Depth (ft)],"",0,1)</f>
        <v>78.33</v>
      </c>
      <c r="D19" s="1" t="s">
        <v>36</v>
      </c>
      <c r="E19" s="1" t="str">
        <f>IF(D19="Yes",_xlfn.XLOOKUP(A19,BaseHouse[House Base],BaseHouse[3-Car Side],,0,1),"N/A")</f>
        <v>Left</v>
      </c>
      <c r="F19" s="1">
        <f>IF(D19="Yes",_xlfn.XLOOKUP(A19,BaseHouse[House Base],BaseHouse[3-Car Dim],,0,1),"N/A")</f>
        <v>10</v>
      </c>
      <c r="G19" s="1" t="s">
        <v>36</v>
      </c>
      <c r="H19" s="1">
        <v>2</v>
      </c>
      <c r="I19" s="1" t="str">
        <f t="shared" si="0"/>
        <v>Yes</v>
      </c>
      <c r="J19" s="1" t="s">
        <v>37</v>
      </c>
      <c r="K19" s="1"/>
      <c r="L19" s="1" t="str">
        <f t="shared" si="1"/>
        <v>No</v>
      </c>
      <c r="M19" s="1" t="s">
        <v>37</v>
      </c>
      <c r="N19" s="1"/>
      <c r="O19" s="1"/>
      <c r="P19" s="1" t="str">
        <f t="shared" si="2"/>
        <v>No</v>
      </c>
      <c r="Q19" s="1" t="s">
        <v>37</v>
      </c>
      <c r="R19" s="1"/>
      <c r="S19" s="1" t="s">
        <v>37</v>
      </c>
      <c r="T19" s="1"/>
      <c r="U19" s="1">
        <f t="shared" si="3"/>
        <v>50</v>
      </c>
      <c r="V19" s="1">
        <f t="shared" si="4"/>
        <v>78.33</v>
      </c>
    </row>
    <row r="20" spans="1:22" x14ac:dyDescent="0.25">
      <c r="A20" s="1" t="s">
        <v>21</v>
      </c>
      <c r="B20" s="1">
        <f>_xlfn.XLOOKUP(A20,BaseHouse[House Base],BaseHouse[Width (ft)],"",0,1)</f>
        <v>40</v>
      </c>
      <c r="C20" s="1">
        <f>_xlfn.XLOOKUP(A20,BaseHouse[House Base],BaseHouse[Depth (ft)],"",0,1)</f>
        <v>78.33</v>
      </c>
      <c r="D20" s="1" t="s">
        <v>36</v>
      </c>
      <c r="E20" s="1" t="str">
        <f>IF(D20="Yes",_xlfn.XLOOKUP(A20,BaseHouse[House Base],BaseHouse[3-Car Side],,0,1),"N/A")</f>
        <v>Left</v>
      </c>
      <c r="F20" s="1">
        <f>IF(D20="Yes",_xlfn.XLOOKUP(A20,BaseHouse[House Base],BaseHouse[3-Car Dim],,0,1),"N/A")</f>
        <v>10</v>
      </c>
      <c r="G20" s="1" t="s">
        <v>36</v>
      </c>
      <c r="H20" s="1">
        <v>4</v>
      </c>
      <c r="I20" s="1" t="str">
        <f t="shared" si="0"/>
        <v>Yes</v>
      </c>
      <c r="J20" s="1" t="s">
        <v>37</v>
      </c>
      <c r="K20" s="1"/>
      <c r="L20" s="1" t="str">
        <f t="shared" si="1"/>
        <v>No</v>
      </c>
      <c r="M20" s="1" t="s">
        <v>37</v>
      </c>
      <c r="N20" s="1"/>
      <c r="O20" s="1"/>
      <c r="P20" s="1" t="str">
        <f t="shared" si="2"/>
        <v>No</v>
      </c>
      <c r="Q20" s="1" t="s">
        <v>37</v>
      </c>
      <c r="R20" s="1"/>
      <c r="S20" s="1" t="s">
        <v>37</v>
      </c>
      <c r="T20" s="1"/>
      <c r="U20" s="1">
        <f t="shared" si="3"/>
        <v>50</v>
      </c>
      <c r="V20" s="1">
        <f t="shared" si="4"/>
        <v>78.33</v>
      </c>
    </row>
    <row r="21" spans="1:22" x14ac:dyDescent="0.25">
      <c r="A21" s="1" t="s">
        <v>21</v>
      </c>
      <c r="B21" s="1">
        <f>_xlfn.XLOOKUP(A21,BaseHouse[House Base],BaseHouse[Width (ft)],"",0,1)</f>
        <v>40</v>
      </c>
      <c r="C21" s="1">
        <f>_xlfn.XLOOKUP(A21,BaseHouse[House Base],BaseHouse[Depth (ft)],"",0,1)</f>
        <v>78.33</v>
      </c>
      <c r="D21" s="1" t="s">
        <v>36</v>
      </c>
      <c r="E21" s="1" t="str">
        <f>IF(D21="Yes",_xlfn.XLOOKUP(A21,BaseHouse[House Base],BaseHouse[3-Car Side],,0,1),"N/A")</f>
        <v>Left</v>
      </c>
      <c r="F21" s="1">
        <f>IF(D21="Yes",_xlfn.XLOOKUP(A21,BaseHouse[House Base],BaseHouse[3-Car Dim],,0,1),"N/A")</f>
        <v>10</v>
      </c>
      <c r="G21" s="1" t="s">
        <v>37</v>
      </c>
      <c r="H21" s="1"/>
      <c r="I21" s="1" t="str">
        <f t="shared" si="0"/>
        <v>Yes</v>
      </c>
      <c r="J21" s="1" t="s">
        <v>37</v>
      </c>
      <c r="K21" s="1"/>
      <c r="L21" s="1" t="str">
        <f t="shared" si="1"/>
        <v>No</v>
      </c>
      <c r="M21" s="1" t="s">
        <v>37</v>
      </c>
      <c r="N21" s="1"/>
      <c r="O21" s="1"/>
      <c r="P21" s="1" t="str">
        <f t="shared" si="2"/>
        <v>No</v>
      </c>
      <c r="Q21" s="1" t="s">
        <v>36</v>
      </c>
      <c r="R21" s="1">
        <v>1.66</v>
      </c>
      <c r="S21" s="1" t="s">
        <v>37</v>
      </c>
      <c r="T21" s="1"/>
      <c r="U21" s="1">
        <f t="shared" si="3"/>
        <v>50</v>
      </c>
      <c r="V21" s="1">
        <f t="shared" si="4"/>
        <v>79.989999999999995</v>
      </c>
    </row>
    <row r="22" spans="1:22" x14ac:dyDescent="0.25">
      <c r="A22" s="1" t="s">
        <v>21</v>
      </c>
      <c r="B22" s="1">
        <f>_xlfn.XLOOKUP(A22,BaseHouse[House Base],BaseHouse[Width (ft)],"",0,1)</f>
        <v>40</v>
      </c>
      <c r="C22" s="1">
        <f>_xlfn.XLOOKUP(A22,BaseHouse[House Base],BaseHouse[Depth (ft)],"",0,1)</f>
        <v>78.33</v>
      </c>
      <c r="D22" s="1" t="s">
        <v>36</v>
      </c>
      <c r="E22" s="1" t="str">
        <f>IF(D22="Yes",_xlfn.XLOOKUP(A22,BaseHouse[House Base],BaseHouse[3-Car Side],,0,1),"N/A")</f>
        <v>Left</v>
      </c>
      <c r="F22" s="1">
        <f>IF(D22="Yes",_xlfn.XLOOKUP(A22,BaseHouse[House Base],BaseHouse[3-Car Dim],,0,1),"N/A")</f>
        <v>10</v>
      </c>
      <c r="G22" s="1" t="s">
        <v>36</v>
      </c>
      <c r="H22" s="1">
        <v>2</v>
      </c>
      <c r="I22" s="1" t="str">
        <f t="shared" si="0"/>
        <v>Yes</v>
      </c>
      <c r="J22" s="1" t="s">
        <v>37</v>
      </c>
      <c r="K22" s="1"/>
      <c r="L22" s="1" t="str">
        <f t="shared" si="1"/>
        <v>No</v>
      </c>
      <c r="M22" s="1" t="s">
        <v>37</v>
      </c>
      <c r="N22" s="1"/>
      <c r="O22" s="1"/>
      <c r="P22" s="1" t="str">
        <f t="shared" si="2"/>
        <v>No</v>
      </c>
      <c r="Q22" s="1" t="s">
        <v>36</v>
      </c>
      <c r="R22" s="1">
        <v>1.66</v>
      </c>
      <c r="S22" s="1" t="s">
        <v>37</v>
      </c>
      <c r="T22" s="1"/>
      <c r="U22" s="1">
        <f t="shared" si="3"/>
        <v>50</v>
      </c>
      <c r="V22" s="1">
        <f t="shared" si="4"/>
        <v>79.989999999999995</v>
      </c>
    </row>
    <row r="23" spans="1:22" x14ac:dyDescent="0.25">
      <c r="A23" s="1" t="s">
        <v>21</v>
      </c>
      <c r="B23" s="1">
        <f>_xlfn.XLOOKUP(A23,BaseHouse[House Base],BaseHouse[Width (ft)],"",0,1)</f>
        <v>40</v>
      </c>
      <c r="C23" s="1">
        <f>_xlfn.XLOOKUP(A23,BaseHouse[House Base],BaseHouse[Depth (ft)],"",0,1)</f>
        <v>78.33</v>
      </c>
      <c r="D23" s="1" t="s">
        <v>36</v>
      </c>
      <c r="E23" s="1" t="str">
        <f>IF(D23="Yes",_xlfn.XLOOKUP(A23,BaseHouse[House Base],BaseHouse[3-Car Side],,0,1),"N/A")</f>
        <v>Left</v>
      </c>
      <c r="F23" s="1">
        <f>IF(D23="Yes",_xlfn.XLOOKUP(A23,BaseHouse[House Base],BaseHouse[3-Car Dim],,0,1),"N/A")</f>
        <v>10</v>
      </c>
      <c r="G23" s="1" t="s">
        <v>36</v>
      </c>
      <c r="H23" s="1">
        <v>4</v>
      </c>
      <c r="I23" s="1" t="str">
        <f t="shared" si="0"/>
        <v>Yes</v>
      </c>
      <c r="J23" s="1" t="s">
        <v>37</v>
      </c>
      <c r="K23" s="1"/>
      <c r="L23" s="1" t="str">
        <f t="shared" si="1"/>
        <v>No</v>
      </c>
      <c r="M23" s="1" t="s">
        <v>37</v>
      </c>
      <c r="N23" s="1"/>
      <c r="O23" s="1"/>
      <c r="P23" s="1" t="str">
        <f t="shared" si="2"/>
        <v>No</v>
      </c>
      <c r="Q23" s="1" t="s">
        <v>36</v>
      </c>
      <c r="R23" s="1">
        <v>1.66</v>
      </c>
      <c r="S23" s="1" t="s">
        <v>37</v>
      </c>
      <c r="T23" s="1"/>
      <c r="U23" s="1">
        <f t="shared" si="3"/>
        <v>50</v>
      </c>
      <c r="V23" s="1">
        <f t="shared" si="4"/>
        <v>79.989999999999995</v>
      </c>
    </row>
    <row r="24" spans="1:22" x14ac:dyDescent="0.25">
      <c r="A24" s="1" t="s">
        <v>19</v>
      </c>
      <c r="B24" s="1">
        <f>_xlfn.XLOOKUP(A24,BaseHouse[House Base],BaseHouse[Width (ft)],"",0,1)</f>
        <v>40</v>
      </c>
      <c r="C24" s="1">
        <f>_xlfn.XLOOKUP(A24,BaseHouse[House Base],BaseHouse[Depth (ft)],"",0,1)</f>
        <v>65</v>
      </c>
      <c r="D24" s="1" t="s">
        <v>37</v>
      </c>
      <c r="E24" s="1" t="str">
        <f>IF(D24="Yes",_xlfn.XLOOKUP(A24,BaseHouse[House Base],BaseHouse[3-Car Side],,0,1),"N/A")</f>
        <v>N/A</v>
      </c>
      <c r="F24" s="1" t="str">
        <f>IF(D24="Yes",_xlfn.XLOOKUP(A24,BaseHouse[House Base],BaseHouse[3-Car Dim],,0,1),"N/A")</f>
        <v>N/A</v>
      </c>
      <c r="G24" s="1" t="s">
        <v>37</v>
      </c>
      <c r="H24" s="1"/>
      <c r="I24" s="1" t="str">
        <f t="shared" si="0"/>
        <v>No</v>
      </c>
      <c r="J24" s="1" t="s">
        <v>37</v>
      </c>
      <c r="K24" s="1"/>
      <c r="L24" s="1" t="str">
        <f t="shared" si="1"/>
        <v>No</v>
      </c>
      <c r="M24" s="1" t="s">
        <v>37</v>
      </c>
      <c r="N24" s="1"/>
      <c r="O24" s="1"/>
      <c r="P24" s="1" t="str">
        <f t="shared" si="2"/>
        <v>No</v>
      </c>
      <c r="Q24" s="1" t="s">
        <v>37</v>
      </c>
      <c r="R24" s="1"/>
      <c r="S24" s="1" t="s">
        <v>37</v>
      </c>
      <c r="T24" s="1"/>
      <c r="U24" s="1">
        <f t="shared" si="3"/>
        <v>40</v>
      </c>
      <c r="V24" s="1">
        <f t="shared" si="4"/>
        <v>65</v>
      </c>
    </row>
    <row r="25" spans="1:22" x14ac:dyDescent="0.25">
      <c r="A25" s="1" t="s">
        <v>19</v>
      </c>
      <c r="B25" s="1">
        <f>_xlfn.XLOOKUP(A25,BaseHouse[House Base],BaseHouse[Width (ft)],"",0,1)</f>
        <v>40</v>
      </c>
      <c r="C25" s="1">
        <f>_xlfn.XLOOKUP(A25,BaseHouse[House Base],BaseHouse[Depth (ft)],"",0,1)</f>
        <v>65</v>
      </c>
      <c r="D25" s="1" t="s">
        <v>37</v>
      </c>
      <c r="E25" s="1" t="str">
        <f>IF(D25="Yes",_xlfn.XLOOKUP(A25,BaseHouse[House Base],BaseHouse[3-Car Side],,0,1),"N/A")</f>
        <v>N/A</v>
      </c>
      <c r="F25" s="1" t="str">
        <f>IF(D25="Yes",_xlfn.XLOOKUP(A25,BaseHouse[House Base],BaseHouse[3-Car Dim],,0,1),"N/A")</f>
        <v>N/A</v>
      </c>
      <c r="G25" s="1" t="s">
        <v>36</v>
      </c>
      <c r="H25" s="1">
        <v>2</v>
      </c>
      <c r="I25" s="1" t="str">
        <f t="shared" si="0"/>
        <v>No</v>
      </c>
      <c r="J25" s="1" t="s">
        <v>37</v>
      </c>
      <c r="K25" s="1"/>
      <c r="L25" s="1" t="str">
        <f t="shared" si="1"/>
        <v>No</v>
      </c>
      <c r="M25" s="1" t="s">
        <v>37</v>
      </c>
      <c r="N25" s="1"/>
      <c r="O25" s="1"/>
      <c r="P25" s="1" t="str">
        <f t="shared" si="2"/>
        <v>No</v>
      </c>
      <c r="Q25" s="1" t="s">
        <v>37</v>
      </c>
      <c r="R25" s="1"/>
      <c r="S25" s="1" t="s">
        <v>37</v>
      </c>
      <c r="T25" s="1"/>
      <c r="U25" s="1">
        <f t="shared" si="3"/>
        <v>42</v>
      </c>
      <c r="V25" s="1">
        <f t="shared" si="4"/>
        <v>65</v>
      </c>
    </row>
    <row r="26" spans="1:22" x14ac:dyDescent="0.25">
      <c r="A26" s="1" t="s">
        <v>19</v>
      </c>
      <c r="B26" s="1">
        <f>_xlfn.XLOOKUP(A26,BaseHouse[House Base],BaseHouse[Width (ft)],"",0,1)</f>
        <v>40</v>
      </c>
      <c r="C26" s="1">
        <f>_xlfn.XLOOKUP(A26,BaseHouse[House Base],BaseHouse[Depth (ft)],"",0,1)</f>
        <v>65</v>
      </c>
      <c r="D26" s="1" t="s">
        <v>37</v>
      </c>
      <c r="E26" s="1" t="str">
        <f>IF(D26="Yes",_xlfn.XLOOKUP(A26,BaseHouse[House Base],BaseHouse[3-Car Side],,0,1),"N/A")</f>
        <v>N/A</v>
      </c>
      <c r="F26" s="1" t="str">
        <f>IF(D26="Yes",_xlfn.XLOOKUP(A26,BaseHouse[House Base],BaseHouse[3-Car Dim],,0,1),"N/A")</f>
        <v>N/A</v>
      </c>
      <c r="G26" s="1" t="s">
        <v>36</v>
      </c>
      <c r="H26" s="1">
        <v>2</v>
      </c>
      <c r="I26" s="1" t="str">
        <f t="shared" si="0"/>
        <v>No</v>
      </c>
      <c r="J26" s="1" t="s">
        <v>36</v>
      </c>
      <c r="K26" s="1">
        <v>2</v>
      </c>
      <c r="L26" s="1" t="str">
        <f t="shared" si="1"/>
        <v>No</v>
      </c>
      <c r="M26" s="1" t="s">
        <v>37</v>
      </c>
      <c r="N26" s="1"/>
      <c r="O26" s="1"/>
      <c r="P26" s="1" t="str">
        <f t="shared" si="2"/>
        <v>No</v>
      </c>
      <c r="Q26" s="1" t="s">
        <v>37</v>
      </c>
      <c r="R26" s="1"/>
      <c r="S26" s="1" t="s">
        <v>37</v>
      </c>
      <c r="T26" s="1"/>
      <c r="U26" s="1">
        <f t="shared" si="3"/>
        <v>44</v>
      </c>
      <c r="V26" s="1">
        <f t="shared" si="4"/>
        <v>65</v>
      </c>
    </row>
    <row r="27" spans="1:22" x14ac:dyDescent="0.25">
      <c r="A27" s="1" t="s">
        <v>19</v>
      </c>
      <c r="B27" s="1">
        <f>_xlfn.XLOOKUP(A27,BaseHouse[House Base],BaseHouse[Width (ft)],"",0,1)</f>
        <v>40</v>
      </c>
      <c r="C27" s="1">
        <f>_xlfn.XLOOKUP(A27,BaseHouse[House Base],BaseHouse[Depth (ft)],"",0,1)</f>
        <v>65</v>
      </c>
      <c r="D27" s="1" t="s">
        <v>37</v>
      </c>
      <c r="E27" s="1" t="str">
        <f>IF(D27="Yes",_xlfn.XLOOKUP(A27,BaseHouse[House Base],BaseHouse[3-Car Side],,0,1),"N/A")</f>
        <v>N/A</v>
      </c>
      <c r="F27" s="1" t="str">
        <f>IF(D27="Yes",_xlfn.XLOOKUP(A27,BaseHouse[House Base],BaseHouse[3-Car Dim],,0,1),"N/A")</f>
        <v>N/A</v>
      </c>
      <c r="G27" s="1" t="s">
        <v>36</v>
      </c>
      <c r="H27" s="1">
        <v>2</v>
      </c>
      <c r="I27" s="1" t="str">
        <f t="shared" si="0"/>
        <v>No</v>
      </c>
      <c r="J27" s="1" t="s">
        <v>37</v>
      </c>
      <c r="K27" s="1"/>
      <c r="L27" s="1" t="str">
        <f t="shared" si="1"/>
        <v>No</v>
      </c>
      <c r="M27" s="1" t="s">
        <v>36</v>
      </c>
      <c r="N27" s="1">
        <v>7</v>
      </c>
      <c r="O27" s="1" t="s">
        <v>83</v>
      </c>
      <c r="P27" s="1" t="str">
        <f t="shared" si="2"/>
        <v>No</v>
      </c>
      <c r="Q27" s="1" t="s">
        <v>37</v>
      </c>
      <c r="R27" s="1"/>
      <c r="S27" s="1" t="s">
        <v>37</v>
      </c>
      <c r="T27" s="1"/>
      <c r="U27" s="1">
        <f t="shared" si="3"/>
        <v>49</v>
      </c>
      <c r="V27" s="1">
        <f t="shared" si="4"/>
        <v>65</v>
      </c>
    </row>
    <row r="28" spans="1:22" x14ac:dyDescent="0.25">
      <c r="A28" s="1" t="s">
        <v>19</v>
      </c>
      <c r="B28" s="1">
        <f>_xlfn.XLOOKUP(A28,BaseHouse[House Base],BaseHouse[Width (ft)],"",0,1)</f>
        <v>40</v>
      </c>
      <c r="C28" s="1">
        <f>_xlfn.XLOOKUP(A28,BaseHouse[House Base],BaseHouse[Depth (ft)],"",0,1)</f>
        <v>65</v>
      </c>
      <c r="D28" s="1" t="s">
        <v>37</v>
      </c>
      <c r="E28" s="1" t="str">
        <f>IF(D28="Yes",_xlfn.XLOOKUP(A28,BaseHouse[House Base],BaseHouse[3-Car Side],,0,1),"N/A")</f>
        <v>N/A</v>
      </c>
      <c r="F28" s="1" t="str">
        <f>IF(D28="Yes",_xlfn.XLOOKUP(A28,BaseHouse[House Base],BaseHouse[3-Car Dim],,0,1),"N/A")</f>
        <v>N/A</v>
      </c>
      <c r="G28" s="1" t="s">
        <v>36</v>
      </c>
      <c r="H28" s="1">
        <v>2</v>
      </c>
      <c r="I28" s="1" t="str">
        <f t="shared" si="0"/>
        <v>No</v>
      </c>
      <c r="J28" s="1" t="s">
        <v>37</v>
      </c>
      <c r="K28" s="1"/>
      <c r="L28" s="1" t="str">
        <f t="shared" si="1"/>
        <v>No</v>
      </c>
      <c r="M28" s="1" t="s">
        <v>37</v>
      </c>
      <c r="N28" s="1"/>
      <c r="O28" s="1"/>
      <c r="P28" s="1" t="str">
        <f t="shared" si="2"/>
        <v>No</v>
      </c>
      <c r="Q28" s="1" t="s">
        <v>36</v>
      </c>
      <c r="R28" s="1">
        <v>2</v>
      </c>
      <c r="S28" s="1" t="s">
        <v>37</v>
      </c>
      <c r="T28" s="1"/>
      <c r="U28" s="1">
        <f t="shared" si="3"/>
        <v>42</v>
      </c>
      <c r="V28" s="1">
        <f t="shared" si="4"/>
        <v>67</v>
      </c>
    </row>
    <row r="29" spans="1:22" x14ac:dyDescent="0.25">
      <c r="A29" s="1" t="s">
        <v>19</v>
      </c>
      <c r="B29" s="1">
        <f>_xlfn.XLOOKUP(A29,BaseHouse[House Base],BaseHouse[Width (ft)],"",0,1)</f>
        <v>40</v>
      </c>
      <c r="C29" s="1">
        <f>_xlfn.XLOOKUP(A29,BaseHouse[House Base],BaseHouse[Depth (ft)],"",0,1)</f>
        <v>65</v>
      </c>
      <c r="D29" s="1" t="s">
        <v>37</v>
      </c>
      <c r="E29" s="1" t="str">
        <f>IF(D29="Yes",_xlfn.XLOOKUP(A29,BaseHouse[House Base],BaseHouse[3-Car Side],,0,1),"N/A")</f>
        <v>N/A</v>
      </c>
      <c r="F29" s="1" t="str">
        <f>IF(D29="Yes",_xlfn.XLOOKUP(A29,BaseHouse[House Base],BaseHouse[3-Car Dim],,0,1),"N/A")</f>
        <v>N/A</v>
      </c>
      <c r="G29" s="1" t="s">
        <v>36</v>
      </c>
      <c r="H29" s="1">
        <v>2</v>
      </c>
      <c r="I29" s="1" t="str">
        <f>IF(E29="Left","Yes","No")</f>
        <v>No</v>
      </c>
      <c r="J29" s="1" t="s">
        <v>37</v>
      </c>
      <c r="K29" s="1"/>
      <c r="L29" s="1" t="str">
        <f>IF(E29="Right","Yes","No")</f>
        <v>No</v>
      </c>
      <c r="M29" s="1" t="s">
        <v>36</v>
      </c>
      <c r="N29" s="1">
        <v>7</v>
      </c>
      <c r="O29" s="1" t="s">
        <v>83</v>
      </c>
      <c r="P29" s="1" t="str">
        <f>IF(O29=E29,"Yes","No")</f>
        <v>No</v>
      </c>
      <c r="Q29" s="1" t="s">
        <v>36</v>
      </c>
      <c r="R29" s="1">
        <v>2</v>
      </c>
      <c r="S29" s="1"/>
      <c r="T29" s="1"/>
      <c r="U29" s="1">
        <f>SUM(B29,IF(D29="Yes",F29,),IF(I29="Yes",,H29),IF(L29="Yes",,K29),IF(P29="Yes",,N29))</f>
        <v>49</v>
      </c>
      <c r="V29" s="1">
        <f>SUM(C29,IF(Q29="Yes",R29,),IF(S29="Yes",T29,))</f>
        <v>67</v>
      </c>
    </row>
    <row r="30" spans="1:22" x14ac:dyDescent="0.25">
      <c r="A30" s="1" t="s">
        <v>19</v>
      </c>
      <c r="B30" s="1">
        <f>_xlfn.XLOOKUP(A30,BaseHouse[House Base],BaseHouse[Width (ft)],"",0,1)</f>
        <v>40</v>
      </c>
      <c r="C30" s="1">
        <f>_xlfn.XLOOKUP(A30,BaseHouse[House Base],BaseHouse[Depth (ft)],"",0,1)</f>
        <v>65</v>
      </c>
      <c r="D30" s="1" t="s">
        <v>37</v>
      </c>
      <c r="E30" s="1" t="str">
        <f>IF(D30="Yes",_xlfn.XLOOKUP(A30,BaseHouse[House Base],BaseHouse[3-Car Side],,0,1),"N/A")</f>
        <v>N/A</v>
      </c>
      <c r="F30" s="1" t="str">
        <f>IF(D30="Yes",_xlfn.XLOOKUP(A30,BaseHouse[House Base],BaseHouse[3-Car Dim],,0,1),"N/A")</f>
        <v>N/A</v>
      </c>
      <c r="G30" s="1" t="s">
        <v>36</v>
      </c>
      <c r="H30" s="1">
        <v>2</v>
      </c>
      <c r="I30" s="1" t="str">
        <f t="shared" si="0"/>
        <v>No</v>
      </c>
      <c r="J30" s="1" t="s">
        <v>36</v>
      </c>
      <c r="K30" s="1">
        <v>2</v>
      </c>
      <c r="L30" s="1" t="str">
        <f t="shared" si="1"/>
        <v>No</v>
      </c>
      <c r="M30" s="1" t="s">
        <v>36</v>
      </c>
      <c r="N30" s="1">
        <v>7</v>
      </c>
      <c r="O30" s="1" t="s">
        <v>83</v>
      </c>
      <c r="P30" s="1" t="str">
        <f t="shared" si="2"/>
        <v>No</v>
      </c>
      <c r="Q30" s="1" t="s">
        <v>37</v>
      </c>
      <c r="R30" s="1"/>
      <c r="S30" s="1" t="s">
        <v>37</v>
      </c>
      <c r="T30" s="1"/>
      <c r="U30" s="1">
        <f t="shared" si="3"/>
        <v>51</v>
      </c>
      <c r="V30" s="1">
        <f t="shared" si="4"/>
        <v>65</v>
      </c>
    </row>
    <row r="31" spans="1:22" x14ac:dyDescent="0.25">
      <c r="A31" s="1" t="s">
        <v>19</v>
      </c>
      <c r="B31" s="1">
        <f>_xlfn.XLOOKUP(A31,BaseHouse[House Base],BaseHouse[Width (ft)],"",0,1)</f>
        <v>40</v>
      </c>
      <c r="C31" s="1">
        <f>_xlfn.XLOOKUP(A31,BaseHouse[House Base],BaseHouse[Depth (ft)],"",0,1)</f>
        <v>65</v>
      </c>
      <c r="D31" s="1" t="s">
        <v>37</v>
      </c>
      <c r="E31" s="1" t="str">
        <f>IF(D31="Yes",_xlfn.XLOOKUP(A31,BaseHouse[House Base],BaseHouse[3-Car Side],,0,1),"N/A")</f>
        <v>N/A</v>
      </c>
      <c r="F31" s="1" t="str">
        <f>IF(D31="Yes",_xlfn.XLOOKUP(A31,BaseHouse[House Base],BaseHouse[3-Car Dim],,0,1),"N/A")</f>
        <v>N/A</v>
      </c>
      <c r="G31" s="1" t="s">
        <v>36</v>
      </c>
      <c r="H31" s="1">
        <v>2</v>
      </c>
      <c r="I31" s="1" t="str">
        <f t="shared" si="0"/>
        <v>No</v>
      </c>
      <c r="J31" s="1" t="s">
        <v>36</v>
      </c>
      <c r="K31" s="1">
        <v>2</v>
      </c>
      <c r="L31" s="1" t="str">
        <f t="shared" si="1"/>
        <v>No</v>
      </c>
      <c r="M31" s="1" t="s">
        <v>37</v>
      </c>
      <c r="N31" s="1"/>
      <c r="O31" s="1"/>
      <c r="P31" s="1" t="str">
        <f t="shared" si="2"/>
        <v>No</v>
      </c>
      <c r="Q31" s="1" t="s">
        <v>36</v>
      </c>
      <c r="R31" s="1">
        <v>2</v>
      </c>
      <c r="S31" s="1" t="s">
        <v>37</v>
      </c>
      <c r="T31" s="1"/>
      <c r="U31" s="1">
        <f t="shared" si="3"/>
        <v>44</v>
      </c>
      <c r="V31" s="1">
        <f t="shared" si="4"/>
        <v>67</v>
      </c>
    </row>
    <row r="32" spans="1:22" x14ac:dyDescent="0.25">
      <c r="A32" s="1" t="s">
        <v>19</v>
      </c>
      <c r="B32" s="1">
        <f>_xlfn.XLOOKUP(A32,BaseHouse[House Base],BaseHouse[Width (ft)],"",0,1)</f>
        <v>40</v>
      </c>
      <c r="C32" s="1">
        <f>_xlfn.XLOOKUP(A32,BaseHouse[House Base],BaseHouse[Depth (ft)],"",0,1)</f>
        <v>65</v>
      </c>
      <c r="D32" s="1" t="s">
        <v>37</v>
      </c>
      <c r="E32" s="1" t="str">
        <f>IF(D32="Yes",_xlfn.XLOOKUP(A32,BaseHouse[House Base],BaseHouse[3-Car Side],,0,1),"N/A")</f>
        <v>N/A</v>
      </c>
      <c r="F32" s="1" t="str">
        <f>IF(D32="Yes",_xlfn.XLOOKUP(A32,BaseHouse[House Base],BaseHouse[3-Car Dim],,0,1),"N/A")</f>
        <v>N/A</v>
      </c>
      <c r="G32" s="1" t="s">
        <v>36</v>
      </c>
      <c r="H32" s="1">
        <v>2</v>
      </c>
      <c r="I32" s="1" t="str">
        <f t="shared" si="0"/>
        <v>No</v>
      </c>
      <c r="J32" s="1" t="s">
        <v>36</v>
      </c>
      <c r="K32" s="1">
        <v>2</v>
      </c>
      <c r="L32" s="1" t="str">
        <f t="shared" si="1"/>
        <v>No</v>
      </c>
      <c r="M32" s="1" t="s">
        <v>36</v>
      </c>
      <c r="N32" s="1">
        <v>7</v>
      </c>
      <c r="O32" s="1" t="s">
        <v>83</v>
      </c>
      <c r="P32" s="1" t="str">
        <f t="shared" si="2"/>
        <v>No</v>
      </c>
      <c r="Q32" s="1" t="s">
        <v>36</v>
      </c>
      <c r="R32" s="1">
        <v>2</v>
      </c>
      <c r="S32" s="1" t="s">
        <v>37</v>
      </c>
      <c r="T32" s="1"/>
      <c r="U32" s="1">
        <f t="shared" si="3"/>
        <v>51</v>
      </c>
      <c r="V32" s="1">
        <f t="shared" si="4"/>
        <v>67</v>
      </c>
    </row>
    <row r="33" spans="1:22" x14ac:dyDescent="0.25">
      <c r="A33" s="1" t="s">
        <v>19</v>
      </c>
      <c r="B33" s="1">
        <f>_xlfn.XLOOKUP(A33,BaseHouse[House Base],BaseHouse[Width (ft)],"",0,1)</f>
        <v>40</v>
      </c>
      <c r="C33" s="1">
        <f>_xlfn.XLOOKUP(A33,BaseHouse[House Base],BaseHouse[Depth (ft)],"",0,1)</f>
        <v>65</v>
      </c>
      <c r="D33" s="1" t="s">
        <v>37</v>
      </c>
      <c r="E33" s="1" t="str">
        <f>IF(D33="Yes",_xlfn.XLOOKUP(A33,BaseHouse[House Base],BaseHouse[3-Car Side],,0,1),"N/A")</f>
        <v>N/A</v>
      </c>
      <c r="F33" s="1" t="str">
        <f>IF(D33="Yes",_xlfn.XLOOKUP(A33,BaseHouse[House Base],BaseHouse[3-Car Dim],,0,1),"N/A")</f>
        <v>N/A</v>
      </c>
      <c r="G33" s="1" t="s">
        <v>37</v>
      </c>
      <c r="H33" s="1"/>
      <c r="I33" s="1" t="str">
        <f t="shared" ref="I33:I39" si="5">IF(E33="Left","Yes","No")</f>
        <v>No</v>
      </c>
      <c r="J33" s="1" t="s">
        <v>36</v>
      </c>
      <c r="K33" s="1">
        <v>2</v>
      </c>
      <c r="L33" s="1" t="str">
        <f t="shared" ref="L33:L39" si="6">IF(E33="Right","Yes","No")</f>
        <v>No</v>
      </c>
      <c r="M33" s="1" t="s">
        <v>37</v>
      </c>
      <c r="N33" s="1"/>
      <c r="O33" s="1"/>
      <c r="P33" s="1" t="str">
        <f t="shared" ref="P33:P39" si="7">IF(O33=E33,"Yes","No")</f>
        <v>No</v>
      </c>
      <c r="Q33" s="1" t="s">
        <v>37</v>
      </c>
      <c r="R33" s="1"/>
      <c r="S33" s="1" t="s">
        <v>37</v>
      </c>
      <c r="T33" s="1"/>
      <c r="U33" s="1">
        <f t="shared" ref="U33:U39" si="8">SUM(B33,IF(D33="Yes",F33,),IF(I33="Yes",,H33),IF(L33="Yes",,K33),IF(P33="Yes",,N33))</f>
        <v>42</v>
      </c>
      <c r="V33" s="1">
        <f t="shared" ref="V33:V67" si="9">SUM(C33,IF(Q33="Yes",R33,),IF(S33="Yes",T33,))</f>
        <v>65</v>
      </c>
    </row>
    <row r="34" spans="1:22" x14ac:dyDescent="0.25">
      <c r="A34" s="1" t="s">
        <v>19</v>
      </c>
      <c r="B34" s="1">
        <f>_xlfn.XLOOKUP(A34,BaseHouse[House Base],BaseHouse[Width (ft)],"",0,1)</f>
        <v>40</v>
      </c>
      <c r="C34" s="1">
        <f>_xlfn.XLOOKUP(A34,BaseHouse[House Base],BaseHouse[Depth (ft)],"",0,1)</f>
        <v>65</v>
      </c>
      <c r="D34" s="1" t="s">
        <v>37</v>
      </c>
      <c r="E34" s="1" t="str">
        <f>IF(D34="Yes",_xlfn.XLOOKUP(A34,BaseHouse[House Base],BaseHouse[3-Car Side],,0,1),"N/A")</f>
        <v>N/A</v>
      </c>
      <c r="F34" s="1" t="str">
        <f>IF(D34="Yes",_xlfn.XLOOKUP(A34,BaseHouse[House Base],BaseHouse[3-Car Dim],,0,1),"N/A")</f>
        <v>N/A</v>
      </c>
      <c r="G34" s="1" t="s">
        <v>37</v>
      </c>
      <c r="H34" s="1"/>
      <c r="I34" s="1" t="str">
        <f t="shared" si="5"/>
        <v>No</v>
      </c>
      <c r="J34" s="1" t="s">
        <v>36</v>
      </c>
      <c r="K34" s="1">
        <v>2</v>
      </c>
      <c r="L34" s="1" t="str">
        <f t="shared" si="6"/>
        <v>No</v>
      </c>
      <c r="M34" s="1" t="s">
        <v>36</v>
      </c>
      <c r="N34" s="1">
        <v>7</v>
      </c>
      <c r="O34" s="1" t="s">
        <v>83</v>
      </c>
      <c r="P34" s="1" t="str">
        <f t="shared" si="7"/>
        <v>No</v>
      </c>
      <c r="Q34" s="1" t="s">
        <v>37</v>
      </c>
      <c r="R34" s="1"/>
      <c r="S34" s="1" t="s">
        <v>37</v>
      </c>
      <c r="T34" s="1"/>
      <c r="U34" s="1">
        <f t="shared" si="8"/>
        <v>49</v>
      </c>
      <c r="V34" s="1">
        <f t="shared" si="9"/>
        <v>65</v>
      </c>
    </row>
    <row r="35" spans="1:22" x14ac:dyDescent="0.25">
      <c r="A35" s="1" t="s">
        <v>19</v>
      </c>
      <c r="B35" s="1">
        <f>_xlfn.XLOOKUP(A35,BaseHouse[House Base],BaseHouse[Width (ft)],"",0,1)</f>
        <v>40</v>
      </c>
      <c r="C35" s="1">
        <f>_xlfn.XLOOKUP(A35,BaseHouse[House Base],BaseHouse[Depth (ft)],"",0,1)</f>
        <v>65</v>
      </c>
      <c r="D35" s="1" t="s">
        <v>37</v>
      </c>
      <c r="E35" s="1" t="str">
        <f>IF(D35="Yes",_xlfn.XLOOKUP(A35,BaseHouse[House Base],BaseHouse[3-Car Side],,0,1),"N/A")</f>
        <v>N/A</v>
      </c>
      <c r="F35" s="1" t="str">
        <f>IF(D35="Yes",_xlfn.XLOOKUP(A35,BaseHouse[House Base],BaseHouse[3-Car Dim],,0,1),"N/A")</f>
        <v>N/A</v>
      </c>
      <c r="G35" s="1" t="s">
        <v>37</v>
      </c>
      <c r="H35" s="1"/>
      <c r="I35" s="1" t="str">
        <f t="shared" si="5"/>
        <v>No</v>
      </c>
      <c r="J35" s="1" t="s">
        <v>36</v>
      </c>
      <c r="K35" s="1">
        <v>2</v>
      </c>
      <c r="L35" s="1" t="str">
        <f t="shared" si="6"/>
        <v>No</v>
      </c>
      <c r="M35" s="1" t="s">
        <v>36</v>
      </c>
      <c r="N35" s="1">
        <v>7</v>
      </c>
      <c r="O35" s="1" t="s">
        <v>83</v>
      </c>
      <c r="P35" s="1" t="str">
        <f t="shared" si="7"/>
        <v>No</v>
      </c>
      <c r="Q35" s="1" t="s">
        <v>36</v>
      </c>
      <c r="R35" s="1">
        <v>2</v>
      </c>
      <c r="S35" s="1" t="s">
        <v>37</v>
      </c>
      <c r="T35" s="1"/>
      <c r="U35" s="1">
        <f t="shared" si="8"/>
        <v>49</v>
      </c>
      <c r="V35" s="1">
        <f t="shared" si="9"/>
        <v>67</v>
      </c>
    </row>
    <row r="36" spans="1:22" x14ac:dyDescent="0.25">
      <c r="A36" s="1" t="s">
        <v>19</v>
      </c>
      <c r="B36" s="1">
        <f>_xlfn.XLOOKUP(A36,BaseHouse[House Base],BaseHouse[Width (ft)],"",0,1)</f>
        <v>40</v>
      </c>
      <c r="C36" s="1">
        <f>_xlfn.XLOOKUP(A36,BaseHouse[House Base],BaseHouse[Depth (ft)],"",0,1)</f>
        <v>65</v>
      </c>
      <c r="D36" s="1" t="s">
        <v>37</v>
      </c>
      <c r="E36" s="1" t="str">
        <f>IF(D36="Yes",_xlfn.XLOOKUP(A36,BaseHouse[House Base],BaseHouse[3-Car Side],,0,1),"N/A")</f>
        <v>N/A</v>
      </c>
      <c r="F36" s="1" t="str">
        <f>IF(D36="Yes",_xlfn.XLOOKUP(A36,BaseHouse[House Base],BaseHouse[3-Car Dim],,0,1),"N/A")</f>
        <v>N/A</v>
      </c>
      <c r="G36" s="1" t="s">
        <v>37</v>
      </c>
      <c r="H36" s="1"/>
      <c r="I36" s="1" t="str">
        <f t="shared" si="5"/>
        <v>No</v>
      </c>
      <c r="J36" s="1" t="s">
        <v>36</v>
      </c>
      <c r="K36" s="1">
        <v>2</v>
      </c>
      <c r="L36" s="1" t="str">
        <f t="shared" si="6"/>
        <v>No</v>
      </c>
      <c r="M36" s="1" t="s">
        <v>37</v>
      </c>
      <c r="N36" s="1"/>
      <c r="O36" s="1"/>
      <c r="P36" s="1" t="str">
        <f t="shared" si="7"/>
        <v>No</v>
      </c>
      <c r="Q36" s="1" t="s">
        <v>36</v>
      </c>
      <c r="R36" s="1">
        <v>2</v>
      </c>
      <c r="S36" s="1"/>
      <c r="T36" s="1"/>
      <c r="U36" s="1">
        <f t="shared" si="8"/>
        <v>42</v>
      </c>
      <c r="V36" s="1">
        <f t="shared" si="9"/>
        <v>67</v>
      </c>
    </row>
    <row r="37" spans="1:22" x14ac:dyDescent="0.25">
      <c r="A37" s="1" t="s">
        <v>19</v>
      </c>
      <c r="B37" s="1">
        <f>_xlfn.XLOOKUP(A37,BaseHouse[House Base],BaseHouse[Width (ft)],"",0,1)</f>
        <v>40</v>
      </c>
      <c r="C37" s="1">
        <f>_xlfn.XLOOKUP(A37,BaseHouse[House Base],BaseHouse[Depth (ft)],"",0,1)</f>
        <v>65</v>
      </c>
      <c r="D37" s="1" t="s">
        <v>37</v>
      </c>
      <c r="E37" s="1" t="str">
        <f>IF(D37="Yes",_xlfn.XLOOKUP(A37,BaseHouse[House Base],BaseHouse[3-Car Side],,0,1),"N/A")</f>
        <v>N/A</v>
      </c>
      <c r="F37" s="1" t="str">
        <f>IF(D37="Yes",_xlfn.XLOOKUP(A37,BaseHouse[House Base],BaseHouse[3-Car Dim],,0,1),"N/A")</f>
        <v>N/A</v>
      </c>
      <c r="G37" s="1" t="s">
        <v>37</v>
      </c>
      <c r="H37" s="1"/>
      <c r="I37" s="1" t="str">
        <f t="shared" si="5"/>
        <v>No</v>
      </c>
      <c r="J37" s="1" t="s">
        <v>37</v>
      </c>
      <c r="K37" s="1"/>
      <c r="L37" s="1" t="str">
        <f t="shared" si="6"/>
        <v>No</v>
      </c>
      <c r="M37" s="1" t="s">
        <v>36</v>
      </c>
      <c r="N37" s="1">
        <v>7</v>
      </c>
      <c r="O37" s="1" t="s">
        <v>83</v>
      </c>
      <c r="P37" s="1" t="str">
        <f t="shared" si="7"/>
        <v>No</v>
      </c>
      <c r="Q37" s="1" t="s">
        <v>37</v>
      </c>
      <c r="R37" s="1"/>
      <c r="S37" s="1" t="s">
        <v>37</v>
      </c>
      <c r="T37" s="1"/>
      <c r="U37" s="1">
        <f t="shared" si="8"/>
        <v>47</v>
      </c>
      <c r="V37" s="1">
        <f t="shared" si="9"/>
        <v>65</v>
      </c>
    </row>
    <row r="38" spans="1:22" x14ac:dyDescent="0.25">
      <c r="A38" s="1" t="s">
        <v>19</v>
      </c>
      <c r="B38" s="1">
        <f>_xlfn.XLOOKUP(A38,BaseHouse[House Base],BaseHouse[Width (ft)],"",0,1)</f>
        <v>40</v>
      </c>
      <c r="C38" s="1">
        <f>_xlfn.XLOOKUP(A38,BaseHouse[House Base],BaseHouse[Depth (ft)],"",0,1)</f>
        <v>65</v>
      </c>
      <c r="D38" s="1" t="s">
        <v>37</v>
      </c>
      <c r="E38" s="1" t="str">
        <f>IF(D38="Yes",_xlfn.XLOOKUP(A38,BaseHouse[House Base],BaseHouse[3-Car Side],,0,1),"N/A")</f>
        <v>N/A</v>
      </c>
      <c r="F38" s="1" t="str">
        <f>IF(D38="Yes",_xlfn.XLOOKUP(A38,BaseHouse[House Base],BaseHouse[3-Car Dim],,0,1),"N/A")</f>
        <v>N/A</v>
      </c>
      <c r="G38" s="1" t="s">
        <v>37</v>
      </c>
      <c r="H38" s="1"/>
      <c r="I38" s="1" t="str">
        <f t="shared" si="5"/>
        <v>No</v>
      </c>
      <c r="J38" s="1" t="s">
        <v>37</v>
      </c>
      <c r="K38" s="1"/>
      <c r="L38" s="1" t="str">
        <f t="shared" si="6"/>
        <v>No</v>
      </c>
      <c r="M38" s="1" t="s">
        <v>36</v>
      </c>
      <c r="N38" s="1">
        <v>7</v>
      </c>
      <c r="O38" s="1" t="s">
        <v>83</v>
      </c>
      <c r="P38" s="1" t="str">
        <f t="shared" si="7"/>
        <v>No</v>
      </c>
      <c r="Q38" s="1" t="s">
        <v>36</v>
      </c>
      <c r="R38" s="1">
        <v>2</v>
      </c>
      <c r="S38" s="1" t="s">
        <v>37</v>
      </c>
      <c r="T38" s="1"/>
      <c r="U38" s="1">
        <f t="shared" si="8"/>
        <v>47</v>
      </c>
      <c r="V38" s="1">
        <f t="shared" si="9"/>
        <v>67</v>
      </c>
    </row>
    <row r="39" spans="1:22" x14ac:dyDescent="0.25">
      <c r="A39" s="1" t="s">
        <v>19</v>
      </c>
      <c r="B39" s="1">
        <f>_xlfn.XLOOKUP(A39,BaseHouse[House Base],BaseHouse[Width (ft)],"",0,1)</f>
        <v>40</v>
      </c>
      <c r="C39" s="1">
        <f>_xlfn.XLOOKUP(A39,BaseHouse[House Base],BaseHouse[Depth (ft)],"",0,1)</f>
        <v>65</v>
      </c>
      <c r="D39" s="1" t="s">
        <v>37</v>
      </c>
      <c r="E39" s="1" t="str">
        <f>IF(D39="Yes",_xlfn.XLOOKUP(A39,BaseHouse[House Base],BaseHouse[3-Car Side],,0,1),"N/A")</f>
        <v>N/A</v>
      </c>
      <c r="F39" s="1" t="str">
        <f>IF(D39="Yes",_xlfn.XLOOKUP(A39,BaseHouse[House Base],BaseHouse[3-Car Dim],,0,1),"N/A")</f>
        <v>N/A</v>
      </c>
      <c r="G39" s="1" t="s">
        <v>37</v>
      </c>
      <c r="H39" s="1"/>
      <c r="I39" s="1" t="str">
        <f t="shared" si="5"/>
        <v>No</v>
      </c>
      <c r="J39" s="1" t="s">
        <v>37</v>
      </c>
      <c r="K39" s="1"/>
      <c r="L39" s="1" t="str">
        <f t="shared" si="6"/>
        <v>No</v>
      </c>
      <c r="M39" s="1" t="s">
        <v>37</v>
      </c>
      <c r="N39" s="1"/>
      <c r="O39" s="1"/>
      <c r="P39" s="1" t="str">
        <f t="shared" si="7"/>
        <v>No</v>
      </c>
      <c r="Q39" s="1" t="s">
        <v>36</v>
      </c>
      <c r="R39" s="1">
        <v>2</v>
      </c>
      <c r="S39" s="1" t="s">
        <v>37</v>
      </c>
      <c r="T39" s="1"/>
      <c r="U39" s="1">
        <f t="shared" si="8"/>
        <v>40</v>
      </c>
      <c r="V39" s="1">
        <f t="shared" si="9"/>
        <v>67</v>
      </c>
    </row>
    <row r="40" spans="1:22" x14ac:dyDescent="0.25">
      <c r="A40" s="1" t="s">
        <v>19</v>
      </c>
      <c r="B40" s="1">
        <f>_xlfn.XLOOKUP(A40,BaseHouse[House Base],BaseHouse[Width (ft)],"",0,1)</f>
        <v>40</v>
      </c>
      <c r="C40" s="1">
        <f>_xlfn.XLOOKUP(A40,BaseHouse[House Base],BaseHouse[Depth (ft)],"",0,1)</f>
        <v>65</v>
      </c>
      <c r="D40" s="1" t="s">
        <v>36</v>
      </c>
      <c r="E40" s="1" t="str">
        <f>IF(D40="Yes",_xlfn.XLOOKUP(A40,BaseHouse[House Base],BaseHouse[3-Car Side],,0,1),"N/A")</f>
        <v>Left</v>
      </c>
      <c r="F40" s="1">
        <f>IF(D40="Yes",_xlfn.XLOOKUP(A40,BaseHouse[House Base],BaseHouse[3-Car Dim],,0,1),"N/A")</f>
        <v>10</v>
      </c>
      <c r="G40" s="1" t="s">
        <v>37</v>
      </c>
      <c r="H40" s="1"/>
      <c r="I40" s="1" t="str">
        <f t="shared" ref="I40:I44" si="10">IF(E40="Left","Yes","No")</f>
        <v>Yes</v>
      </c>
      <c r="J40" s="1" t="s">
        <v>37</v>
      </c>
      <c r="K40" s="1"/>
      <c r="L40" s="1" t="str">
        <f t="shared" ref="L40:L44" si="11">IF(E40="Right","Yes","No")</f>
        <v>No</v>
      </c>
      <c r="M40" s="1" t="s">
        <v>37</v>
      </c>
      <c r="N40" s="1"/>
      <c r="O40" s="1"/>
      <c r="P40" s="1" t="str">
        <f t="shared" ref="P40:P44" si="12">IF(O40=E40,"Yes","No")</f>
        <v>No</v>
      </c>
      <c r="Q40" s="1" t="s">
        <v>37</v>
      </c>
      <c r="R40" s="1"/>
      <c r="S40" s="1" t="s">
        <v>37</v>
      </c>
      <c r="T40" s="1"/>
      <c r="U40" s="1">
        <f t="shared" ref="U40:U44" si="13">SUM(B40,IF(D40="Yes",F40,),IF(I40="Yes",,H40),IF(L40="Yes",,K40),IF(P40="Yes",,N40))</f>
        <v>50</v>
      </c>
      <c r="V40" s="1">
        <f t="shared" si="9"/>
        <v>65</v>
      </c>
    </row>
    <row r="41" spans="1:22" x14ac:dyDescent="0.25">
      <c r="A41" s="1" t="s">
        <v>19</v>
      </c>
      <c r="B41" s="1">
        <f>_xlfn.XLOOKUP(A41,BaseHouse[House Base],BaseHouse[Width (ft)],"",0,1)</f>
        <v>40</v>
      </c>
      <c r="C41" s="1">
        <f>_xlfn.XLOOKUP(A41,BaseHouse[House Base],BaseHouse[Depth (ft)],"",0,1)</f>
        <v>65</v>
      </c>
      <c r="D41" s="1" t="s">
        <v>36</v>
      </c>
      <c r="E41" s="1" t="str">
        <f>IF(D41="Yes",_xlfn.XLOOKUP(A41,BaseHouse[House Base],BaseHouse[3-Car Side],,0,1),"N/A")</f>
        <v>Left</v>
      </c>
      <c r="F41" s="1">
        <f>IF(D41="Yes",_xlfn.XLOOKUP(A41,BaseHouse[House Base],BaseHouse[3-Car Dim],,0,1),"N/A")</f>
        <v>10</v>
      </c>
      <c r="G41" s="1" t="s">
        <v>36</v>
      </c>
      <c r="H41" s="1">
        <v>2</v>
      </c>
      <c r="I41" s="1" t="str">
        <f t="shared" si="10"/>
        <v>Yes</v>
      </c>
      <c r="J41" s="1" t="s">
        <v>37</v>
      </c>
      <c r="K41" s="1"/>
      <c r="L41" s="1" t="str">
        <f t="shared" si="11"/>
        <v>No</v>
      </c>
      <c r="M41" s="1" t="s">
        <v>37</v>
      </c>
      <c r="N41" s="1"/>
      <c r="O41" s="1"/>
      <c r="P41" s="1" t="str">
        <f t="shared" si="12"/>
        <v>No</v>
      </c>
      <c r="Q41" s="1" t="s">
        <v>37</v>
      </c>
      <c r="R41" s="1"/>
      <c r="S41" s="1" t="s">
        <v>37</v>
      </c>
      <c r="T41" s="1"/>
      <c r="U41" s="1">
        <f t="shared" si="13"/>
        <v>50</v>
      </c>
      <c r="V41" s="1">
        <f t="shared" si="9"/>
        <v>65</v>
      </c>
    </row>
    <row r="42" spans="1:22" x14ac:dyDescent="0.25">
      <c r="A42" s="1" t="s">
        <v>19</v>
      </c>
      <c r="B42" s="1">
        <f>_xlfn.XLOOKUP(A42,BaseHouse[House Base],BaseHouse[Width (ft)],"",0,1)</f>
        <v>40</v>
      </c>
      <c r="C42" s="1">
        <f>_xlfn.XLOOKUP(A42,BaseHouse[House Base],BaseHouse[Depth (ft)],"",0,1)</f>
        <v>65</v>
      </c>
      <c r="D42" s="1" t="s">
        <v>36</v>
      </c>
      <c r="E42" s="1" t="str">
        <f>IF(D42="Yes",_xlfn.XLOOKUP(A42,BaseHouse[House Base],BaseHouse[3-Car Side],,0,1),"N/A")</f>
        <v>Left</v>
      </c>
      <c r="F42" s="1">
        <f>IF(D42="Yes",_xlfn.XLOOKUP(A42,BaseHouse[House Base],BaseHouse[3-Car Dim],,0,1),"N/A")</f>
        <v>10</v>
      </c>
      <c r="G42" s="1" t="s">
        <v>36</v>
      </c>
      <c r="H42" s="1">
        <v>2</v>
      </c>
      <c r="I42" s="1" t="str">
        <f t="shared" si="10"/>
        <v>Yes</v>
      </c>
      <c r="J42" s="1" t="s">
        <v>36</v>
      </c>
      <c r="K42" s="1">
        <v>2</v>
      </c>
      <c r="L42" s="1" t="str">
        <f t="shared" si="11"/>
        <v>No</v>
      </c>
      <c r="M42" s="1" t="s">
        <v>37</v>
      </c>
      <c r="N42" s="1"/>
      <c r="O42" s="1"/>
      <c r="P42" s="1" t="str">
        <f t="shared" si="12"/>
        <v>No</v>
      </c>
      <c r="Q42" s="1" t="s">
        <v>37</v>
      </c>
      <c r="R42" s="1"/>
      <c r="S42" s="1" t="s">
        <v>37</v>
      </c>
      <c r="T42" s="1"/>
      <c r="U42" s="1">
        <f t="shared" si="13"/>
        <v>52</v>
      </c>
      <c r="V42" s="1">
        <f t="shared" si="9"/>
        <v>65</v>
      </c>
    </row>
    <row r="43" spans="1:22" x14ac:dyDescent="0.25">
      <c r="A43" s="1" t="s">
        <v>19</v>
      </c>
      <c r="B43" s="1">
        <f>_xlfn.XLOOKUP(A43,BaseHouse[House Base],BaseHouse[Width (ft)],"",0,1)</f>
        <v>40</v>
      </c>
      <c r="C43" s="1">
        <f>_xlfn.XLOOKUP(A43,BaseHouse[House Base],BaseHouse[Depth (ft)],"",0,1)</f>
        <v>65</v>
      </c>
      <c r="D43" s="1" t="s">
        <v>36</v>
      </c>
      <c r="E43" s="1" t="str">
        <f>IF(D43="Yes",_xlfn.XLOOKUP(A43,BaseHouse[House Base],BaseHouse[3-Car Side],,0,1),"N/A")</f>
        <v>Left</v>
      </c>
      <c r="F43" s="1">
        <f>IF(D43="Yes",_xlfn.XLOOKUP(A43,BaseHouse[House Base],BaseHouse[3-Car Dim],,0,1),"N/A")</f>
        <v>10</v>
      </c>
      <c r="G43" s="1" t="s">
        <v>36</v>
      </c>
      <c r="H43" s="1">
        <v>2</v>
      </c>
      <c r="I43" s="1" t="str">
        <f t="shared" si="10"/>
        <v>Yes</v>
      </c>
      <c r="J43" s="1" t="s">
        <v>37</v>
      </c>
      <c r="K43" s="1"/>
      <c r="L43" s="1" t="str">
        <f t="shared" si="11"/>
        <v>No</v>
      </c>
      <c r="M43" s="1" t="s">
        <v>36</v>
      </c>
      <c r="N43" s="1">
        <v>7</v>
      </c>
      <c r="O43" s="1" t="s">
        <v>83</v>
      </c>
      <c r="P43" s="1" t="str">
        <f t="shared" si="12"/>
        <v>Yes</v>
      </c>
      <c r="Q43" s="1" t="s">
        <v>37</v>
      </c>
      <c r="R43" s="1"/>
      <c r="S43" s="1" t="s">
        <v>37</v>
      </c>
      <c r="T43" s="1"/>
      <c r="U43" s="1">
        <f t="shared" si="13"/>
        <v>50</v>
      </c>
      <c r="V43" s="1">
        <f t="shared" si="9"/>
        <v>65</v>
      </c>
    </row>
    <row r="44" spans="1:22" x14ac:dyDescent="0.25">
      <c r="A44" s="1" t="s">
        <v>19</v>
      </c>
      <c r="B44" s="1">
        <f>_xlfn.XLOOKUP(A44,BaseHouse[House Base],BaseHouse[Width (ft)],"",0,1)</f>
        <v>40</v>
      </c>
      <c r="C44" s="1">
        <f>_xlfn.XLOOKUP(A44,BaseHouse[House Base],BaseHouse[Depth (ft)],"",0,1)</f>
        <v>65</v>
      </c>
      <c r="D44" s="1" t="s">
        <v>36</v>
      </c>
      <c r="E44" s="1" t="str">
        <f>IF(D44="Yes",_xlfn.XLOOKUP(A44,BaseHouse[House Base],BaseHouse[3-Car Side],,0,1),"N/A")</f>
        <v>Left</v>
      </c>
      <c r="F44" s="1">
        <f>IF(D44="Yes",_xlfn.XLOOKUP(A44,BaseHouse[House Base],BaseHouse[3-Car Dim],,0,1),"N/A")</f>
        <v>10</v>
      </c>
      <c r="G44" s="1" t="s">
        <v>36</v>
      </c>
      <c r="H44" s="1">
        <v>2</v>
      </c>
      <c r="I44" s="1" t="str">
        <f t="shared" si="10"/>
        <v>Yes</v>
      </c>
      <c r="J44" s="1" t="s">
        <v>37</v>
      </c>
      <c r="K44" s="1"/>
      <c r="L44" s="1" t="str">
        <f t="shared" si="11"/>
        <v>No</v>
      </c>
      <c r="M44" s="1" t="s">
        <v>37</v>
      </c>
      <c r="N44" s="1"/>
      <c r="O44" s="1"/>
      <c r="P44" s="1" t="str">
        <f t="shared" si="12"/>
        <v>No</v>
      </c>
      <c r="Q44" s="1" t="s">
        <v>36</v>
      </c>
      <c r="R44" s="1">
        <v>2</v>
      </c>
      <c r="S44" s="1" t="s">
        <v>37</v>
      </c>
      <c r="T44" s="1"/>
      <c r="U44" s="1">
        <f t="shared" si="13"/>
        <v>50</v>
      </c>
      <c r="V44" s="1">
        <f t="shared" si="9"/>
        <v>67</v>
      </c>
    </row>
    <row r="45" spans="1:22" x14ac:dyDescent="0.25">
      <c r="A45" s="1" t="s">
        <v>19</v>
      </c>
      <c r="B45" s="1">
        <f>_xlfn.XLOOKUP(A45,BaseHouse[House Base],BaseHouse[Width (ft)],"",0,1)</f>
        <v>40</v>
      </c>
      <c r="C45" s="1">
        <f>_xlfn.XLOOKUP(A45,BaseHouse[House Base],BaseHouse[Depth (ft)],"",0,1)</f>
        <v>65</v>
      </c>
      <c r="D45" s="1" t="s">
        <v>36</v>
      </c>
      <c r="E45" s="1" t="str">
        <f>IF(D45="Yes",_xlfn.XLOOKUP(A45,BaseHouse[House Base],BaseHouse[3-Car Side],,0,1),"N/A")</f>
        <v>Left</v>
      </c>
      <c r="F45" s="1">
        <f>IF(D45="Yes",_xlfn.XLOOKUP(A45,BaseHouse[House Base],BaseHouse[3-Car Dim],,0,1),"N/A")</f>
        <v>10</v>
      </c>
      <c r="G45" s="1" t="s">
        <v>36</v>
      </c>
      <c r="H45" s="1">
        <v>2</v>
      </c>
      <c r="I45" s="1" t="str">
        <f>IF(E45="Left","Yes","No")</f>
        <v>Yes</v>
      </c>
      <c r="J45" s="1" t="s">
        <v>37</v>
      </c>
      <c r="K45" s="1"/>
      <c r="L45" s="1" t="str">
        <f>IF(E45="Right","Yes","No")</f>
        <v>No</v>
      </c>
      <c r="M45" s="1" t="s">
        <v>36</v>
      </c>
      <c r="N45" s="1">
        <v>7</v>
      </c>
      <c r="O45" s="1" t="s">
        <v>83</v>
      </c>
      <c r="P45" s="1" t="str">
        <f>IF(O45=E45,"Yes","No")</f>
        <v>Yes</v>
      </c>
      <c r="Q45" s="1" t="s">
        <v>36</v>
      </c>
      <c r="R45" s="1">
        <v>2</v>
      </c>
      <c r="S45" s="1"/>
      <c r="T45" s="1"/>
      <c r="U45" s="1">
        <f>SUM(B45,IF(D45="Yes",F45,),IF(I45="Yes",,H45),IF(L45="Yes",,K45),IF(P45="Yes",,N45))</f>
        <v>50</v>
      </c>
      <c r="V45" s="1">
        <f t="shared" si="9"/>
        <v>67</v>
      </c>
    </row>
    <row r="46" spans="1:22" x14ac:dyDescent="0.25">
      <c r="A46" s="1" t="s">
        <v>19</v>
      </c>
      <c r="B46" s="1">
        <f>_xlfn.XLOOKUP(A46,BaseHouse[House Base],BaseHouse[Width (ft)],"",0,1)</f>
        <v>40</v>
      </c>
      <c r="C46" s="1">
        <f>_xlfn.XLOOKUP(A46,BaseHouse[House Base],BaseHouse[Depth (ft)],"",0,1)</f>
        <v>65</v>
      </c>
      <c r="D46" s="1" t="s">
        <v>36</v>
      </c>
      <c r="E46" s="1" t="str">
        <f>IF(D46="Yes",_xlfn.XLOOKUP(A46,BaseHouse[House Base],BaseHouse[3-Car Side],,0,1),"N/A")</f>
        <v>Left</v>
      </c>
      <c r="F46" s="1">
        <f>IF(D46="Yes",_xlfn.XLOOKUP(A46,BaseHouse[House Base],BaseHouse[3-Car Dim],,0,1),"N/A")</f>
        <v>10</v>
      </c>
      <c r="G46" s="1" t="s">
        <v>36</v>
      </c>
      <c r="H46" s="1">
        <v>2</v>
      </c>
      <c r="I46" s="1" t="str">
        <f t="shared" ref="I46:I48" si="14">IF(E46="Left","Yes","No")</f>
        <v>Yes</v>
      </c>
      <c r="J46" s="1" t="s">
        <v>36</v>
      </c>
      <c r="K46" s="1">
        <v>2</v>
      </c>
      <c r="L46" s="1" t="str">
        <f t="shared" ref="L46:L48" si="15">IF(E46="Right","Yes","No")</f>
        <v>No</v>
      </c>
      <c r="M46" s="1" t="s">
        <v>36</v>
      </c>
      <c r="N46" s="1">
        <v>7</v>
      </c>
      <c r="O46" s="1" t="s">
        <v>83</v>
      </c>
      <c r="P46" s="1" t="str">
        <f t="shared" ref="P46:P48" si="16">IF(O46=E46,"Yes","No")</f>
        <v>Yes</v>
      </c>
      <c r="Q46" s="1" t="s">
        <v>37</v>
      </c>
      <c r="R46" s="1"/>
      <c r="S46" s="1" t="s">
        <v>37</v>
      </c>
      <c r="T46" s="1"/>
      <c r="U46" s="1">
        <f t="shared" ref="U46:U48" si="17">SUM(B46,IF(D46="Yes",F46,),IF(I46="Yes",,H46),IF(L46="Yes",,K46),IF(P46="Yes",,N46))</f>
        <v>52</v>
      </c>
      <c r="V46" s="1">
        <f t="shared" si="9"/>
        <v>65</v>
      </c>
    </row>
    <row r="47" spans="1:22" x14ac:dyDescent="0.25">
      <c r="A47" s="1" t="s">
        <v>19</v>
      </c>
      <c r="B47" s="1">
        <f>_xlfn.XLOOKUP(A47,BaseHouse[House Base],BaseHouse[Width (ft)],"",0,1)</f>
        <v>40</v>
      </c>
      <c r="C47" s="1">
        <f>_xlfn.XLOOKUP(A47,BaseHouse[House Base],BaseHouse[Depth (ft)],"",0,1)</f>
        <v>65</v>
      </c>
      <c r="D47" s="1" t="s">
        <v>36</v>
      </c>
      <c r="E47" s="1" t="str">
        <f>IF(D47="Yes",_xlfn.XLOOKUP(A47,BaseHouse[House Base],BaseHouse[3-Car Side],,0,1),"N/A")</f>
        <v>Left</v>
      </c>
      <c r="F47" s="1">
        <f>IF(D47="Yes",_xlfn.XLOOKUP(A47,BaseHouse[House Base],BaseHouse[3-Car Dim],,0,1),"N/A")</f>
        <v>10</v>
      </c>
      <c r="G47" s="1" t="s">
        <v>36</v>
      </c>
      <c r="H47" s="1">
        <v>2</v>
      </c>
      <c r="I47" s="1" t="str">
        <f t="shared" si="14"/>
        <v>Yes</v>
      </c>
      <c r="J47" s="1" t="s">
        <v>36</v>
      </c>
      <c r="K47" s="1">
        <v>2</v>
      </c>
      <c r="L47" s="1" t="str">
        <f t="shared" si="15"/>
        <v>No</v>
      </c>
      <c r="M47" s="1" t="s">
        <v>37</v>
      </c>
      <c r="N47" s="1"/>
      <c r="O47" s="1"/>
      <c r="P47" s="1" t="str">
        <f t="shared" si="16"/>
        <v>No</v>
      </c>
      <c r="Q47" s="1" t="s">
        <v>36</v>
      </c>
      <c r="R47" s="1">
        <v>2</v>
      </c>
      <c r="S47" s="1" t="s">
        <v>37</v>
      </c>
      <c r="T47" s="1"/>
      <c r="U47" s="1">
        <f t="shared" si="17"/>
        <v>52</v>
      </c>
      <c r="V47" s="1">
        <f t="shared" si="9"/>
        <v>67</v>
      </c>
    </row>
    <row r="48" spans="1:22" x14ac:dyDescent="0.25">
      <c r="A48" s="1" t="s">
        <v>19</v>
      </c>
      <c r="B48" s="1">
        <f>_xlfn.XLOOKUP(A48,BaseHouse[House Base],BaseHouse[Width (ft)],"",0,1)</f>
        <v>40</v>
      </c>
      <c r="C48" s="1">
        <f>_xlfn.XLOOKUP(A48,BaseHouse[House Base],BaseHouse[Depth (ft)],"",0,1)</f>
        <v>65</v>
      </c>
      <c r="D48" s="1" t="s">
        <v>36</v>
      </c>
      <c r="E48" s="1" t="str">
        <f>IF(D48="Yes",_xlfn.XLOOKUP(A48,BaseHouse[House Base],BaseHouse[3-Car Side],,0,1),"N/A")</f>
        <v>Left</v>
      </c>
      <c r="F48" s="1">
        <f>IF(D48="Yes",_xlfn.XLOOKUP(A48,BaseHouse[House Base],BaseHouse[3-Car Dim],,0,1),"N/A")</f>
        <v>10</v>
      </c>
      <c r="G48" s="1" t="s">
        <v>36</v>
      </c>
      <c r="H48" s="1">
        <v>2</v>
      </c>
      <c r="I48" s="1" t="str">
        <f t="shared" si="14"/>
        <v>Yes</v>
      </c>
      <c r="J48" s="1" t="s">
        <v>36</v>
      </c>
      <c r="K48" s="1">
        <v>2</v>
      </c>
      <c r="L48" s="1" t="str">
        <f t="shared" si="15"/>
        <v>No</v>
      </c>
      <c r="M48" s="1" t="s">
        <v>36</v>
      </c>
      <c r="N48" s="1">
        <v>7</v>
      </c>
      <c r="O48" s="1" t="s">
        <v>83</v>
      </c>
      <c r="P48" s="1" t="str">
        <f t="shared" si="16"/>
        <v>Yes</v>
      </c>
      <c r="Q48" s="1" t="s">
        <v>36</v>
      </c>
      <c r="R48" s="1">
        <v>2</v>
      </c>
      <c r="S48" s="1" t="s">
        <v>37</v>
      </c>
      <c r="T48" s="1"/>
      <c r="U48" s="1">
        <f t="shared" si="17"/>
        <v>52</v>
      </c>
      <c r="V48" s="1">
        <f t="shared" si="9"/>
        <v>67</v>
      </c>
    </row>
    <row r="49" spans="1:22" x14ac:dyDescent="0.25">
      <c r="A49" s="1" t="s">
        <v>19</v>
      </c>
      <c r="B49" s="1">
        <f>_xlfn.XLOOKUP(A49,BaseHouse[House Base],BaseHouse[Width (ft)],"",0,1)</f>
        <v>40</v>
      </c>
      <c r="C49" s="1">
        <f>_xlfn.XLOOKUP(A49,BaseHouse[House Base],BaseHouse[Depth (ft)],"",0,1)</f>
        <v>65</v>
      </c>
      <c r="D49" s="1" t="s">
        <v>36</v>
      </c>
      <c r="E49" s="1" t="str">
        <f>IF(D49="Yes",_xlfn.XLOOKUP(A49,BaseHouse[House Base],BaseHouse[3-Car Side],,0,1),"N/A")</f>
        <v>Left</v>
      </c>
      <c r="F49" s="1">
        <f>IF(D49="Yes",_xlfn.XLOOKUP(A49,BaseHouse[House Base],BaseHouse[3-Car Dim],,0,1),"N/A")</f>
        <v>10</v>
      </c>
      <c r="G49" s="1" t="s">
        <v>37</v>
      </c>
      <c r="H49" s="1"/>
      <c r="I49" s="1" t="str">
        <f t="shared" ref="I49:I67" si="18">IF(E49="Left","Yes","No")</f>
        <v>Yes</v>
      </c>
      <c r="J49" s="1" t="s">
        <v>36</v>
      </c>
      <c r="K49" s="1">
        <v>2</v>
      </c>
      <c r="L49" s="1" t="str">
        <f t="shared" ref="L49:L67" si="19">IF(E49="Right","Yes","No")</f>
        <v>No</v>
      </c>
      <c r="M49" s="1" t="s">
        <v>37</v>
      </c>
      <c r="N49" s="1"/>
      <c r="O49" s="1"/>
      <c r="P49" s="1" t="str">
        <f t="shared" ref="P49:P67" si="20">IF(O49=E49,"Yes","No")</f>
        <v>No</v>
      </c>
      <c r="Q49" s="1" t="s">
        <v>37</v>
      </c>
      <c r="R49" s="1"/>
      <c r="S49" s="1" t="s">
        <v>37</v>
      </c>
      <c r="T49" s="1"/>
      <c r="U49" s="1">
        <f t="shared" ref="U49:U67" si="21">SUM(B49,IF(D49="Yes",F49,),IF(I49="Yes",,H49),IF(L49="Yes",,K49),IF(P49="Yes",,N49))</f>
        <v>52</v>
      </c>
      <c r="V49" s="1">
        <f t="shared" si="9"/>
        <v>65</v>
      </c>
    </row>
    <row r="50" spans="1:22" x14ac:dyDescent="0.25">
      <c r="A50" s="1" t="s">
        <v>19</v>
      </c>
      <c r="B50" s="1">
        <f>_xlfn.XLOOKUP(A50,BaseHouse[House Base],BaseHouse[Width (ft)],"",0,1)</f>
        <v>40</v>
      </c>
      <c r="C50" s="1">
        <f>_xlfn.XLOOKUP(A50,BaseHouse[House Base],BaseHouse[Depth (ft)],"",0,1)</f>
        <v>65</v>
      </c>
      <c r="D50" s="1" t="s">
        <v>36</v>
      </c>
      <c r="E50" s="1" t="str">
        <f>IF(D50="Yes",_xlfn.XLOOKUP(A50,BaseHouse[House Base],BaseHouse[3-Car Side],,0,1),"N/A")</f>
        <v>Left</v>
      </c>
      <c r="F50" s="1">
        <f>IF(D50="Yes",_xlfn.XLOOKUP(A50,BaseHouse[House Base],BaseHouse[3-Car Dim],,0,1),"N/A")</f>
        <v>10</v>
      </c>
      <c r="G50" s="1" t="s">
        <v>37</v>
      </c>
      <c r="H50" s="1"/>
      <c r="I50" s="1" t="str">
        <f t="shared" si="18"/>
        <v>Yes</v>
      </c>
      <c r="J50" s="1" t="s">
        <v>36</v>
      </c>
      <c r="K50" s="1">
        <v>2</v>
      </c>
      <c r="L50" s="1" t="str">
        <f t="shared" si="19"/>
        <v>No</v>
      </c>
      <c r="M50" s="1" t="s">
        <v>36</v>
      </c>
      <c r="N50" s="1">
        <v>7</v>
      </c>
      <c r="O50" s="1" t="s">
        <v>83</v>
      </c>
      <c r="P50" s="1" t="str">
        <f t="shared" si="20"/>
        <v>Yes</v>
      </c>
      <c r="Q50" s="1" t="s">
        <v>37</v>
      </c>
      <c r="R50" s="1"/>
      <c r="S50" s="1" t="s">
        <v>37</v>
      </c>
      <c r="T50" s="1"/>
      <c r="U50" s="1">
        <f t="shared" si="21"/>
        <v>52</v>
      </c>
      <c r="V50" s="1">
        <f t="shared" si="9"/>
        <v>65</v>
      </c>
    </row>
    <row r="51" spans="1:22" x14ac:dyDescent="0.25">
      <c r="A51" s="1" t="s">
        <v>19</v>
      </c>
      <c r="B51" s="1">
        <f>_xlfn.XLOOKUP(A51,BaseHouse[House Base],BaseHouse[Width (ft)],"",0,1)</f>
        <v>40</v>
      </c>
      <c r="C51" s="1">
        <f>_xlfn.XLOOKUP(A51,BaseHouse[House Base],BaseHouse[Depth (ft)],"",0,1)</f>
        <v>65</v>
      </c>
      <c r="D51" s="1" t="s">
        <v>36</v>
      </c>
      <c r="E51" s="1" t="str">
        <f>IF(D51="Yes",_xlfn.XLOOKUP(A51,BaseHouse[House Base],BaseHouse[3-Car Side],,0,1),"N/A")</f>
        <v>Left</v>
      </c>
      <c r="F51" s="1">
        <f>IF(D51="Yes",_xlfn.XLOOKUP(A51,BaseHouse[House Base],BaseHouse[3-Car Dim],,0,1),"N/A")</f>
        <v>10</v>
      </c>
      <c r="G51" s="1" t="s">
        <v>37</v>
      </c>
      <c r="H51" s="1"/>
      <c r="I51" s="1" t="str">
        <f t="shared" si="18"/>
        <v>Yes</v>
      </c>
      <c r="J51" s="1" t="s">
        <v>36</v>
      </c>
      <c r="K51" s="1">
        <v>2</v>
      </c>
      <c r="L51" s="1" t="str">
        <f t="shared" si="19"/>
        <v>No</v>
      </c>
      <c r="M51" s="1" t="s">
        <v>36</v>
      </c>
      <c r="N51" s="1">
        <v>7</v>
      </c>
      <c r="O51" s="1" t="s">
        <v>83</v>
      </c>
      <c r="P51" s="1" t="str">
        <f t="shared" si="20"/>
        <v>Yes</v>
      </c>
      <c r="Q51" s="1" t="s">
        <v>36</v>
      </c>
      <c r="R51" s="1">
        <v>2</v>
      </c>
      <c r="S51" s="1" t="s">
        <v>37</v>
      </c>
      <c r="T51" s="1"/>
      <c r="U51" s="1">
        <f t="shared" si="21"/>
        <v>52</v>
      </c>
      <c r="V51" s="1">
        <f t="shared" si="9"/>
        <v>67</v>
      </c>
    </row>
    <row r="52" spans="1:22" x14ac:dyDescent="0.25">
      <c r="A52" s="1" t="s">
        <v>19</v>
      </c>
      <c r="B52" s="1">
        <f>_xlfn.XLOOKUP(A52,BaseHouse[House Base],BaseHouse[Width (ft)],"",0,1)</f>
        <v>40</v>
      </c>
      <c r="C52" s="1">
        <f>_xlfn.XLOOKUP(A52,BaseHouse[House Base],BaseHouse[Depth (ft)],"",0,1)</f>
        <v>65</v>
      </c>
      <c r="D52" s="1" t="s">
        <v>36</v>
      </c>
      <c r="E52" s="1" t="str">
        <f>IF(D52="Yes",_xlfn.XLOOKUP(A52,BaseHouse[House Base],BaseHouse[3-Car Side],,0,1),"N/A")</f>
        <v>Left</v>
      </c>
      <c r="F52" s="1">
        <f>IF(D52="Yes",_xlfn.XLOOKUP(A52,BaseHouse[House Base],BaseHouse[3-Car Dim],,0,1),"N/A")</f>
        <v>10</v>
      </c>
      <c r="G52" s="1" t="s">
        <v>37</v>
      </c>
      <c r="H52" s="1"/>
      <c r="I52" s="1" t="str">
        <f t="shared" si="18"/>
        <v>Yes</v>
      </c>
      <c r="J52" s="1" t="s">
        <v>36</v>
      </c>
      <c r="K52" s="1">
        <v>2</v>
      </c>
      <c r="L52" s="1" t="str">
        <f t="shared" si="19"/>
        <v>No</v>
      </c>
      <c r="M52" s="1" t="s">
        <v>37</v>
      </c>
      <c r="N52" s="1"/>
      <c r="O52" s="1"/>
      <c r="P52" s="1" t="str">
        <f t="shared" si="20"/>
        <v>No</v>
      </c>
      <c r="Q52" s="1" t="s">
        <v>36</v>
      </c>
      <c r="R52" s="1">
        <v>2</v>
      </c>
      <c r="S52" s="1" t="s">
        <v>37</v>
      </c>
      <c r="T52" s="1"/>
      <c r="U52" s="1">
        <f t="shared" si="21"/>
        <v>52</v>
      </c>
      <c r="V52" s="1">
        <f t="shared" si="9"/>
        <v>67</v>
      </c>
    </row>
    <row r="53" spans="1:22" x14ac:dyDescent="0.25">
      <c r="A53" s="1" t="s">
        <v>19</v>
      </c>
      <c r="B53" s="1">
        <f>_xlfn.XLOOKUP(A53,BaseHouse[House Base],BaseHouse[Width (ft)],"",0,1)</f>
        <v>40</v>
      </c>
      <c r="C53" s="1">
        <f>_xlfn.XLOOKUP(A53,BaseHouse[House Base],BaseHouse[Depth (ft)],"",0,1)</f>
        <v>65</v>
      </c>
      <c r="D53" s="1" t="s">
        <v>36</v>
      </c>
      <c r="E53" s="1" t="str">
        <f>IF(D53="Yes",_xlfn.XLOOKUP(A53,BaseHouse[House Base],BaseHouse[3-Car Side],,0,1),"N/A")</f>
        <v>Left</v>
      </c>
      <c r="F53" s="1">
        <f>IF(D53="Yes",_xlfn.XLOOKUP(A53,BaseHouse[House Base],BaseHouse[3-Car Dim],,0,1),"N/A")</f>
        <v>10</v>
      </c>
      <c r="G53" s="1" t="s">
        <v>37</v>
      </c>
      <c r="H53" s="1"/>
      <c r="I53" s="1" t="str">
        <f t="shared" si="18"/>
        <v>Yes</v>
      </c>
      <c r="J53" s="1" t="s">
        <v>37</v>
      </c>
      <c r="K53" s="1"/>
      <c r="L53" s="1" t="str">
        <f t="shared" si="19"/>
        <v>No</v>
      </c>
      <c r="M53" s="1" t="s">
        <v>36</v>
      </c>
      <c r="N53" s="1">
        <v>7</v>
      </c>
      <c r="O53" s="1" t="s">
        <v>83</v>
      </c>
      <c r="P53" s="1" t="str">
        <f t="shared" si="20"/>
        <v>Yes</v>
      </c>
      <c r="Q53" s="1" t="s">
        <v>37</v>
      </c>
      <c r="R53" s="1"/>
      <c r="S53" s="1" t="s">
        <v>37</v>
      </c>
      <c r="T53" s="1"/>
      <c r="U53" s="1">
        <f t="shared" si="21"/>
        <v>50</v>
      </c>
      <c r="V53" s="1">
        <f t="shared" si="9"/>
        <v>65</v>
      </c>
    </row>
    <row r="54" spans="1:22" x14ac:dyDescent="0.25">
      <c r="A54" s="1" t="s">
        <v>19</v>
      </c>
      <c r="B54" s="1">
        <f>_xlfn.XLOOKUP(A54,BaseHouse[House Base],BaseHouse[Width (ft)],"",0,1)</f>
        <v>40</v>
      </c>
      <c r="C54" s="1">
        <f>_xlfn.XLOOKUP(A54,BaseHouse[House Base],BaseHouse[Depth (ft)],"",0,1)</f>
        <v>65</v>
      </c>
      <c r="D54" s="1" t="s">
        <v>36</v>
      </c>
      <c r="E54" s="1" t="str">
        <f>IF(D54="Yes",_xlfn.XLOOKUP(A54,BaseHouse[House Base],BaseHouse[3-Car Side],,0,1),"N/A")</f>
        <v>Left</v>
      </c>
      <c r="F54" s="1">
        <f>IF(D54="Yes",_xlfn.XLOOKUP(A54,BaseHouse[House Base],BaseHouse[3-Car Dim],,0,1),"N/A")</f>
        <v>10</v>
      </c>
      <c r="G54" s="1" t="s">
        <v>37</v>
      </c>
      <c r="H54" s="1"/>
      <c r="I54" s="1" t="str">
        <f t="shared" si="18"/>
        <v>Yes</v>
      </c>
      <c r="J54" s="1" t="s">
        <v>37</v>
      </c>
      <c r="K54" s="1"/>
      <c r="L54" s="1" t="str">
        <f t="shared" si="19"/>
        <v>No</v>
      </c>
      <c r="M54" s="1" t="s">
        <v>36</v>
      </c>
      <c r="N54" s="1">
        <v>7</v>
      </c>
      <c r="O54" s="1" t="s">
        <v>83</v>
      </c>
      <c r="P54" s="1" t="str">
        <f t="shared" si="20"/>
        <v>Yes</v>
      </c>
      <c r="Q54" s="1" t="s">
        <v>36</v>
      </c>
      <c r="R54" s="1">
        <v>2</v>
      </c>
      <c r="S54" s="1" t="s">
        <v>37</v>
      </c>
      <c r="T54" s="1"/>
      <c r="U54" s="1">
        <f t="shared" si="21"/>
        <v>50</v>
      </c>
      <c r="V54" s="1">
        <f t="shared" si="9"/>
        <v>67</v>
      </c>
    </row>
    <row r="55" spans="1:22" x14ac:dyDescent="0.25">
      <c r="A55" s="1" t="s">
        <v>19</v>
      </c>
      <c r="B55" s="1">
        <f>_xlfn.XLOOKUP(A55,BaseHouse[House Base],BaseHouse[Width (ft)],"",0,1)</f>
        <v>40</v>
      </c>
      <c r="C55" s="1">
        <f>_xlfn.XLOOKUP(A55,BaseHouse[House Base],BaseHouse[Depth (ft)],"",0,1)</f>
        <v>65</v>
      </c>
      <c r="D55" s="1" t="s">
        <v>36</v>
      </c>
      <c r="E55" s="1" t="str">
        <f>IF(D55="Yes",_xlfn.XLOOKUP(A55,BaseHouse[House Base],BaseHouse[3-Car Side],,0,1),"N/A")</f>
        <v>Left</v>
      </c>
      <c r="F55" s="1">
        <f>IF(D55="Yes",_xlfn.XLOOKUP(A55,BaseHouse[House Base],BaseHouse[3-Car Dim],,0,1),"N/A")</f>
        <v>10</v>
      </c>
      <c r="G55" s="1" t="s">
        <v>37</v>
      </c>
      <c r="H55" s="1"/>
      <c r="I55" s="1" t="str">
        <f t="shared" si="18"/>
        <v>Yes</v>
      </c>
      <c r="J55" s="1" t="s">
        <v>37</v>
      </c>
      <c r="K55" s="1"/>
      <c r="L55" s="1" t="str">
        <f t="shared" si="19"/>
        <v>No</v>
      </c>
      <c r="M55" s="1" t="s">
        <v>37</v>
      </c>
      <c r="N55" s="1"/>
      <c r="O55" s="1"/>
      <c r="P55" s="1" t="str">
        <f t="shared" si="20"/>
        <v>No</v>
      </c>
      <c r="Q55" s="1" t="s">
        <v>36</v>
      </c>
      <c r="R55" s="1">
        <v>2</v>
      </c>
      <c r="S55" s="1" t="s">
        <v>37</v>
      </c>
      <c r="T55" s="1"/>
      <c r="U55" s="1">
        <f t="shared" si="21"/>
        <v>50</v>
      </c>
      <c r="V55" s="1">
        <f t="shared" si="9"/>
        <v>67</v>
      </c>
    </row>
    <row r="56" spans="1:22" x14ac:dyDescent="0.25">
      <c r="A56" s="1" t="s">
        <v>22</v>
      </c>
      <c r="B56" s="1">
        <f>_xlfn.XLOOKUP(A56,BaseHouse[House Base],BaseHouse[Width (ft)],"",0,1)</f>
        <v>45.66</v>
      </c>
      <c r="C56" s="1">
        <f>_xlfn.XLOOKUP(A56,BaseHouse[House Base],BaseHouse[Depth (ft)],"",0,1)</f>
        <v>72.33</v>
      </c>
      <c r="D56" s="1" t="s">
        <v>37</v>
      </c>
      <c r="E56" s="1" t="str">
        <f>IF(D56="Yes",_xlfn.XLOOKUP(A56,BaseHouse[House Base],BaseHouse[3-Car Side],,0,1),"N/A")</f>
        <v>N/A</v>
      </c>
      <c r="F56" s="1" t="str">
        <f>IF(D56="Yes",_xlfn.XLOOKUP(A56,BaseHouse[House Base],BaseHouse[3-Car Dim],,0,1),"N/A")</f>
        <v>N/A</v>
      </c>
      <c r="G56" s="1" t="s">
        <v>37</v>
      </c>
      <c r="H56" s="1"/>
      <c r="I56" s="1" t="str">
        <f t="shared" si="18"/>
        <v>No</v>
      </c>
      <c r="J56" s="1" t="s">
        <v>37</v>
      </c>
      <c r="K56" s="1"/>
      <c r="L56" s="1" t="str">
        <f t="shared" si="19"/>
        <v>No</v>
      </c>
      <c r="M56" s="1" t="s">
        <v>37</v>
      </c>
      <c r="N56" s="1"/>
      <c r="O56" s="1"/>
      <c r="P56" s="1" t="str">
        <f t="shared" si="20"/>
        <v>No</v>
      </c>
      <c r="Q56" s="1" t="s">
        <v>37</v>
      </c>
      <c r="R56" s="1"/>
      <c r="S56" s="1" t="s">
        <v>37</v>
      </c>
      <c r="T56" s="1"/>
      <c r="U56" s="1">
        <f t="shared" si="21"/>
        <v>45.66</v>
      </c>
      <c r="V56" s="1">
        <f t="shared" si="9"/>
        <v>72.33</v>
      </c>
    </row>
    <row r="57" spans="1:22" x14ac:dyDescent="0.25">
      <c r="A57" s="1" t="s">
        <v>22</v>
      </c>
      <c r="B57" s="1">
        <f>_xlfn.XLOOKUP(A57,BaseHouse[House Base],BaseHouse[Width (ft)],"",0,1)</f>
        <v>45.66</v>
      </c>
      <c r="C57" s="1">
        <f>_xlfn.XLOOKUP(A57,BaseHouse[House Base],BaseHouse[Depth (ft)],"",0,1)</f>
        <v>72.33</v>
      </c>
      <c r="D57" s="1" t="s">
        <v>37</v>
      </c>
      <c r="E57" s="1" t="str">
        <f>IF(D57="Yes",_xlfn.XLOOKUP(A57,BaseHouse[House Base],BaseHouse[3-Car Side],,0,1),"N/A")</f>
        <v>N/A</v>
      </c>
      <c r="F57" s="1" t="str">
        <f>IF(D57="Yes",_xlfn.XLOOKUP(A57,BaseHouse[House Base],BaseHouse[3-Car Dim],,0,1),"N/A")</f>
        <v>N/A</v>
      </c>
      <c r="G57" s="1" t="s">
        <v>37</v>
      </c>
      <c r="H57" s="1"/>
      <c r="I57" s="1" t="str">
        <f t="shared" si="18"/>
        <v>No</v>
      </c>
      <c r="J57" s="1" t="s">
        <v>36</v>
      </c>
      <c r="K57" s="1">
        <v>2</v>
      </c>
      <c r="L57" s="1" t="str">
        <f t="shared" si="19"/>
        <v>No</v>
      </c>
      <c r="M57" s="1" t="s">
        <v>37</v>
      </c>
      <c r="N57" s="1"/>
      <c r="O57" s="1"/>
      <c r="P57" s="1" t="str">
        <f t="shared" si="20"/>
        <v>No</v>
      </c>
      <c r="Q57" s="1" t="s">
        <v>37</v>
      </c>
      <c r="R57" s="1"/>
      <c r="S57" s="1" t="s">
        <v>37</v>
      </c>
      <c r="T57" s="1"/>
      <c r="U57" s="1">
        <f t="shared" si="21"/>
        <v>47.66</v>
      </c>
      <c r="V57" s="1">
        <f t="shared" si="9"/>
        <v>72.33</v>
      </c>
    </row>
    <row r="58" spans="1:22" x14ac:dyDescent="0.25">
      <c r="A58" s="1" t="s">
        <v>22</v>
      </c>
      <c r="B58" s="1">
        <f>_xlfn.XLOOKUP(A58,BaseHouse[House Base],BaseHouse[Width (ft)],"",0,1)</f>
        <v>45.66</v>
      </c>
      <c r="C58" s="1">
        <f>_xlfn.XLOOKUP(A58,BaseHouse[House Base],BaseHouse[Depth (ft)],"",0,1)</f>
        <v>72.33</v>
      </c>
      <c r="D58" s="1" t="s">
        <v>37</v>
      </c>
      <c r="E58" s="1" t="str">
        <f>IF(D58="Yes",_xlfn.XLOOKUP(A58,BaseHouse[House Base],BaseHouse[3-Car Side],,0,1),"N/A")</f>
        <v>N/A</v>
      </c>
      <c r="F58" s="1" t="str">
        <f>IF(D58="Yes",_xlfn.XLOOKUP(A58,BaseHouse[House Base],BaseHouse[3-Car Dim],,0,1),"N/A")</f>
        <v>N/A</v>
      </c>
      <c r="G58" s="1" t="s">
        <v>37</v>
      </c>
      <c r="H58" s="1"/>
      <c r="I58" s="1" t="str">
        <f t="shared" si="18"/>
        <v>No</v>
      </c>
      <c r="J58" s="1" t="s">
        <v>36</v>
      </c>
      <c r="K58" s="1">
        <v>4</v>
      </c>
      <c r="L58" s="1" t="str">
        <f t="shared" si="19"/>
        <v>No</v>
      </c>
      <c r="M58" s="1" t="s">
        <v>37</v>
      </c>
      <c r="N58" s="1"/>
      <c r="O58" s="1"/>
      <c r="P58" s="1" t="str">
        <f t="shared" si="20"/>
        <v>No</v>
      </c>
      <c r="Q58" s="1" t="s">
        <v>37</v>
      </c>
      <c r="R58" s="1"/>
      <c r="S58" s="1" t="s">
        <v>37</v>
      </c>
      <c r="T58" s="1"/>
      <c r="U58" s="1">
        <f t="shared" si="21"/>
        <v>49.66</v>
      </c>
      <c r="V58" s="1">
        <f t="shared" si="9"/>
        <v>72.33</v>
      </c>
    </row>
    <row r="59" spans="1:22" x14ac:dyDescent="0.25">
      <c r="A59" s="1" t="s">
        <v>22</v>
      </c>
      <c r="B59" s="1">
        <f>_xlfn.XLOOKUP(A59,BaseHouse[House Base],BaseHouse[Width (ft)],"",0,1)</f>
        <v>45.66</v>
      </c>
      <c r="C59" s="1">
        <f>_xlfn.XLOOKUP(A59,BaseHouse[House Base],BaseHouse[Depth (ft)],"",0,1)</f>
        <v>72.33</v>
      </c>
      <c r="D59" s="1" t="s">
        <v>36</v>
      </c>
      <c r="E59" s="1" t="str">
        <f>IF(D59="Yes",_xlfn.XLOOKUP(A59,BaseHouse[House Base],BaseHouse[3-Car Side],,0,1),"N/A")</f>
        <v>Right</v>
      </c>
      <c r="F59" s="1">
        <f>IF(D59="Yes",_xlfn.XLOOKUP(A59,BaseHouse[House Base],BaseHouse[3-Car Dim],,0,1),"N/A")</f>
        <v>7.33</v>
      </c>
      <c r="G59" s="1" t="s">
        <v>37</v>
      </c>
      <c r="H59" s="1"/>
      <c r="I59" s="1" t="str">
        <f t="shared" si="18"/>
        <v>No</v>
      </c>
      <c r="J59" s="1" t="s">
        <v>37</v>
      </c>
      <c r="K59" s="1"/>
      <c r="L59" s="1" t="str">
        <f t="shared" si="19"/>
        <v>Yes</v>
      </c>
      <c r="M59" s="1" t="s">
        <v>37</v>
      </c>
      <c r="N59" s="1"/>
      <c r="O59" s="1"/>
      <c r="P59" s="1" t="str">
        <f t="shared" si="20"/>
        <v>No</v>
      </c>
      <c r="Q59" s="1" t="s">
        <v>37</v>
      </c>
      <c r="R59" s="1"/>
      <c r="S59" s="1" t="s">
        <v>37</v>
      </c>
      <c r="T59" s="1"/>
      <c r="U59" s="1">
        <f t="shared" si="21"/>
        <v>52.989999999999995</v>
      </c>
      <c r="V59" s="1">
        <f t="shared" si="9"/>
        <v>72.33</v>
      </c>
    </row>
    <row r="60" spans="1:22" x14ac:dyDescent="0.25">
      <c r="A60" s="1" t="s">
        <v>22</v>
      </c>
      <c r="B60" s="1">
        <f>_xlfn.XLOOKUP(A60,BaseHouse[House Base],BaseHouse[Width (ft)],"",0,1)</f>
        <v>45.66</v>
      </c>
      <c r="C60" s="1">
        <f>_xlfn.XLOOKUP(A60,BaseHouse[House Base],BaseHouse[Depth (ft)],"",0,1)</f>
        <v>72.33</v>
      </c>
      <c r="D60" s="1" t="s">
        <v>36</v>
      </c>
      <c r="E60" s="1" t="str">
        <f>IF(D60="Yes",_xlfn.XLOOKUP(A60,BaseHouse[House Base],BaseHouse[3-Car Side],,0,1),"N/A")</f>
        <v>Right</v>
      </c>
      <c r="F60" s="1">
        <f>IF(D60="Yes",_xlfn.XLOOKUP(A60,BaseHouse[House Base],BaseHouse[3-Car Dim],,0,1),"N/A")</f>
        <v>7.33</v>
      </c>
      <c r="G60" s="1" t="s">
        <v>37</v>
      </c>
      <c r="H60" s="1"/>
      <c r="I60" s="1" t="str">
        <f t="shared" si="18"/>
        <v>No</v>
      </c>
      <c r="J60" s="1" t="s">
        <v>36</v>
      </c>
      <c r="K60" s="1">
        <v>2</v>
      </c>
      <c r="L60" s="1" t="str">
        <f t="shared" si="19"/>
        <v>Yes</v>
      </c>
      <c r="M60" s="1" t="s">
        <v>37</v>
      </c>
      <c r="N60" s="1"/>
      <c r="O60" s="1"/>
      <c r="P60" s="1" t="str">
        <f t="shared" si="20"/>
        <v>No</v>
      </c>
      <c r="Q60" s="1" t="s">
        <v>37</v>
      </c>
      <c r="R60" s="1"/>
      <c r="S60" s="1" t="s">
        <v>37</v>
      </c>
      <c r="T60" s="1"/>
      <c r="U60" s="1">
        <f t="shared" si="21"/>
        <v>52.989999999999995</v>
      </c>
      <c r="V60" s="1">
        <f t="shared" si="9"/>
        <v>72.33</v>
      </c>
    </row>
    <row r="61" spans="1:22" x14ac:dyDescent="0.25">
      <c r="A61" s="1" t="s">
        <v>22</v>
      </c>
      <c r="B61" s="1">
        <f>_xlfn.XLOOKUP(A61,BaseHouse[House Base],BaseHouse[Width (ft)],"",0,1)</f>
        <v>45.66</v>
      </c>
      <c r="C61" s="1">
        <f>_xlfn.XLOOKUP(A61,BaseHouse[House Base],BaseHouse[Depth (ft)],"",0,1)</f>
        <v>72.33</v>
      </c>
      <c r="D61" s="1" t="s">
        <v>36</v>
      </c>
      <c r="E61" s="1" t="str">
        <f>IF(D61="Yes",_xlfn.XLOOKUP(A61,BaseHouse[House Base],BaseHouse[3-Car Side],,0,1),"N/A")</f>
        <v>Right</v>
      </c>
      <c r="F61" s="1">
        <f>IF(D61="Yes",_xlfn.XLOOKUP(A61,BaseHouse[House Base],BaseHouse[3-Car Dim],,0,1),"N/A")</f>
        <v>7.33</v>
      </c>
      <c r="G61" s="1" t="s">
        <v>37</v>
      </c>
      <c r="H61" s="1"/>
      <c r="I61" s="1" t="str">
        <f t="shared" si="18"/>
        <v>No</v>
      </c>
      <c r="J61" s="1" t="s">
        <v>36</v>
      </c>
      <c r="K61" s="1">
        <v>4</v>
      </c>
      <c r="L61" s="1" t="str">
        <f t="shared" si="19"/>
        <v>Yes</v>
      </c>
      <c r="M61" s="1" t="s">
        <v>37</v>
      </c>
      <c r="N61" s="1"/>
      <c r="O61" s="1"/>
      <c r="P61" s="1" t="str">
        <f t="shared" si="20"/>
        <v>No</v>
      </c>
      <c r="Q61" s="1" t="s">
        <v>37</v>
      </c>
      <c r="R61" s="1"/>
      <c r="S61" s="1" t="s">
        <v>37</v>
      </c>
      <c r="T61" s="1"/>
      <c r="U61" s="1">
        <f t="shared" si="21"/>
        <v>52.989999999999995</v>
      </c>
      <c r="V61" s="1">
        <f t="shared" si="9"/>
        <v>72.33</v>
      </c>
    </row>
    <row r="62" spans="1:22" x14ac:dyDescent="0.25">
      <c r="A62" s="1" t="s">
        <v>23</v>
      </c>
      <c r="B62" s="1">
        <f>_xlfn.XLOOKUP(A62,BaseHouse[House Base],BaseHouse[Width (ft)],"",0,1)</f>
        <v>40</v>
      </c>
      <c r="C62" s="1">
        <f>_xlfn.XLOOKUP(A62,BaseHouse[House Base],BaseHouse[Depth (ft)],"",0,1)</f>
        <v>75</v>
      </c>
      <c r="D62" s="1" t="s">
        <v>37</v>
      </c>
      <c r="E62" s="1" t="str">
        <f>IF(D62="Yes",_xlfn.XLOOKUP(A62,BaseHouse[House Base],BaseHouse[3-Car Side],,0,1),"N/A")</f>
        <v>N/A</v>
      </c>
      <c r="F62" s="1" t="str">
        <f>IF(D62="Yes",_xlfn.XLOOKUP(A62,BaseHouse[House Base],BaseHouse[3-Car Dim],,0,1),"N/A")</f>
        <v>N/A</v>
      </c>
      <c r="G62" s="1" t="s">
        <v>37</v>
      </c>
      <c r="H62" s="1"/>
      <c r="I62" s="1" t="str">
        <f t="shared" si="18"/>
        <v>No</v>
      </c>
      <c r="J62" s="1" t="s">
        <v>37</v>
      </c>
      <c r="K62" s="1"/>
      <c r="L62" s="1" t="str">
        <f t="shared" si="19"/>
        <v>No</v>
      </c>
      <c r="M62" s="1" t="s">
        <v>37</v>
      </c>
      <c r="N62" s="1"/>
      <c r="O62" s="1"/>
      <c r="P62" s="1" t="str">
        <f t="shared" si="20"/>
        <v>No</v>
      </c>
      <c r="Q62" s="1" t="s">
        <v>37</v>
      </c>
      <c r="R62" s="1"/>
      <c r="S62" s="1" t="s">
        <v>37</v>
      </c>
      <c r="T62" s="1"/>
      <c r="U62" s="1">
        <f t="shared" si="21"/>
        <v>40</v>
      </c>
      <c r="V62" s="1">
        <f t="shared" si="9"/>
        <v>75</v>
      </c>
    </row>
    <row r="63" spans="1:22" x14ac:dyDescent="0.25">
      <c r="A63" s="1" t="s">
        <v>23</v>
      </c>
      <c r="B63" s="1">
        <f>_xlfn.XLOOKUP(A63,BaseHouse[House Base],BaseHouse[Width (ft)],"",0,1)</f>
        <v>40</v>
      </c>
      <c r="C63" s="1">
        <f>_xlfn.XLOOKUP(A63,BaseHouse[House Base],BaseHouse[Depth (ft)],"",0,1)</f>
        <v>75</v>
      </c>
      <c r="D63" s="1" t="s">
        <v>37</v>
      </c>
      <c r="E63" s="1" t="str">
        <f>IF(D63="Yes",_xlfn.XLOOKUP(A63,BaseHouse[House Base],BaseHouse[3-Car Side],,0,1),"N/A")</f>
        <v>N/A</v>
      </c>
      <c r="F63" s="1" t="str">
        <f>IF(D63="Yes",_xlfn.XLOOKUP(A63,BaseHouse[House Base],BaseHouse[3-Car Dim],,0,1),"N/A")</f>
        <v>N/A</v>
      </c>
      <c r="G63" s="1" t="s">
        <v>37</v>
      </c>
      <c r="H63" s="1"/>
      <c r="I63" s="1" t="str">
        <f t="shared" si="18"/>
        <v>No</v>
      </c>
      <c r="J63" s="1" t="s">
        <v>36</v>
      </c>
      <c r="K63" s="1">
        <v>2</v>
      </c>
      <c r="L63" s="1" t="str">
        <f t="shared" si="19"/>
        <v>No</v>
      </c>
      <c r="M63" s="1" t="s">
        <v>37</v>
      </c>
      <c r="N63" s="1"/>
      <c r="O63" s="1"/>
      <c r="P63" s="1" t="str">
        <f t="shared" si="20"/>
        <v>No</v>
      </c>
      <c r="Q63" s="1" t="s">
        <v>37</v>
      </c>
      <c r="R63" s="1"/>
      <c r="S63" s="1" t="s">
        <v>37</v>
      </c>
      <c r="T63" s="1"/>
      <c r="U63" s="1">
        <f t="shared" si="21"/>
        <v>42</v>
      </c>
      <c r="V63" s="1">
        <f t="shared" si="9"/>
        <v>75</v>
      </c>
    </row>
    <row r="64" spans="1:22" x14ac:dyDescent="0.25">
      <c r="A64" s="1" t="s">
        <v>23</v>
      </c>
      <c r="B64" s="1">
        <f>_xlfn.XLOOKUP(A64,BaseHouse[House Base],BaseHouse[Width (ft)],"",0,1)</f>
        <v>40</v>
      </c>
      <c r="C64" s="1">
        <f>_xlfn.XLOOKUP(A64,BaseHouse[House Base],BaseHouse[Depth (ft)],"",0,1)</f>
        <v>75</v>
      </c>
      <c r="D64" s="1" t="s">
        <v>37</v>
      </c>
      <c r="E64" s="1" t="str">
        <f>IF(D64="Yes",_xlfn.XLOOKUP(A64,BaseHouse[House Base],BaseHouse[3-Car Side],,0,1),"N/A")</f>
        <v>N/A</v>
      </c>
      <c r="F64" s="1" t="str">
        <f>IF(D64="Yes",_xlfn.XLOOKUP(A64,BaseHouse[House Base],BaseHouse[3-Car Dim],,0,1),"N/A")</f>
        <v>N/A</v>
      </c>
      <c r="G64" s="1" t="s">
        <v>37</v>
      </c>
      <c r="H64" s="1"/>
      <c r="I64" s="1" t="str">
        <f t="shared" si="18"/>
        <v>No</v>
      </c>
      <c r="J64" s="1" t="s">
        <v>36</v>
      </c>
      <c r="K64" s="1">
        <v>4</v>
      </c>
      <c r="L64" s="1" t="str">
        <f t="shared" si="19"/>
        <v>No</v>
      </c>
      <c r="M64" s="1" t="s">
        <v>37</v>
      </c>
      <c r="N64" s="1"/>
      <c r="O64" s="1"/>
      <c r="P64" s="1" t="str">
        <f t="shared" si="20"/>
        <v>No</v>
      </c>
      <c r="Q64" s="1" t="s">
        <v>37</v>
      </c>
      <c r="R64" s="1"/>
      <c r="S64" s="1" t="s">
        <v>37</v>
      </c>
      <c r="T64" s="1"/>
      <c r="U64" s="1">
        <f t="shared" si="21"/>
        <v>44</v>
      </c>
      <c r="V64" s="1">
        <f t="shared" si="9"/>
        <v>75</v>
      </c>
    </row>
    <row r="65" spans="1:22" x14ac:dyDescent="0.25">
      <c r="A65" s="1" t="s">
        <v>23</v>
      </c>
      <c r="B65" s="1">
        <f>_xlfn.XLOOKUP(A65,BaseHouse[House Base],BaseHouse[Width (ft)],"",0,1)</f>
        <v>40</v>
      </c>
      <c r="C65" s="1">
        <f>_xlfn.XLOOKUP(A65,BaseHouse[House Base],BaseHouse[Depth (ft)],"",0,1)</f>
        <v>75</v>
      </c>
      <c r="D65" s="1" t="s">
        <v>36</v>
      </c>
      <c r="E65" s="1" t="str">
        <f>IF(D65="Yes",_xlfn.XLOOKUP(A65,BaseHouse[House Base],BaseHouse[3-Car Side],,0,1),"N/A")</f>
        <v>Right</v>
      </c>
      <c r="F65" s="1">
        <f>IF(D65="Yes",_xlfn.XLOOKUP(A65,BaseHouse[House Base],BaseHouse[3-Car Dim],,0,1),"N/A")</f>
        <v>10</v>
      </c>
      <c r="G65" s="1" t="s">
        <v>37</v>
      </c>
      <c r="H65" s="1"/>
      <c r="I65" s="1" t="str">
        <f t="shared" si="18"/>
        <v>No</v>
      </c>
      <c r="J65" s="1" t="s">
        <v>37</v>
      </c>
      <c r="K65" s="1"/>
      <c r="L65" s="1" t="str">
        <f t="shared" si="19"/>
        <v>Yes</v>
      </c>
      <c r="M65" s="1" t="s">
        <v>37</v>
      </c>
      <c r="N65" s="1"/>
      <c r="O65" s="1"/>
      <c r="P65" s="1" t="str">
        <f t="shared" si="20"/>
        <v>No</v>
      </c>
      <c r="Q65" s="1" t="s">
        <v>37</v>
      </c>
      <c r="R65" s="1"/>
      <c r="S65" s="1" t="s">
        <v>37</v>
      </c>
      <c r="T65" s="1"/>
      <c r="U65" s="1">
        <f t="shared" si="21"/>
        <v>50</v>
      </c>
      <c r="V65" s="1">
        <f t="shared" si="9"/>
        <v>75</v>
      </c>
    </row>
    <row r="66" spans="1:22" x14ac:dyDescent="0.25">
      <c r="A66" s="1" t="s">
        <v>23</v>
      </c>
      <c r="B66" s="1">
        <f>_xlfn.XLOOKUP(A66,BaseHouse[House Base],BaseHouse[Width (ft)],"",0,1)</f>
        <v>40</v>
      </c>
      <c r="C66" s="1">
        <f>_xlfn.XLOOKUP(A66,BaseHouse[House Base],BaseHouse[Depth (ft)],"",0,1)</f>
        <v>75</v>
      </c>
      <c r="D66" s="1" t="s">
        <v>36</v>
      </c>
      <c r="E66" s="1" t="str">
        <f>IF(D66="Yes",_xlfn.XLOOKUP(A66,BaseHouse[House Base],BaseHouse[3-Car Side],,0,1),"N/A")</f>
        <v>Right</v>
      </c>
      <c r="F66" s="1">
        <f>IF(D66="Yes",_xlfn.XLOOKUP(A66,BaseHouse[House Base],BaseHouse[3-Car Dim],,0,1),"N/A")</f>
        <v>10</v>
      </c>
      <c r="G66" s="1" t="s">
        <v>37</v>
      </c>
      <c r="H66" s="1"/>
      <c r="I66" s="1" t="str">
        <f t="shared" si="18"/>
        <v>No</v>
      </c>
      <c r="J66" s="1" t="s">
        <v>36</v>
      </c>
      <c r="K66" s="1">
        <v>2</v>
      </c>
      <c r="L66" s="1" t="str">
        <f t="shared" si="19"/>
        <v>Yes</v>
      </c>
      <c r="M66" s="1" t="s">
        <v>37</v>
      </c>
      <c r="N66" s="1"/>
      <c r="O66" s="1"/>
      <c r="P66" s="1" t="str">
        <f t="shared" si="20"/>
        <v>No</v>
      </c>
      <c r="Q66" s="1" t="s">
        <v>37</v>
      </c>
      <c r="R66" s="1"/>
      <c r="S66" s="1" t="s">
        <v>37</v>
      </c>
      <c r="T66" s="1"/>
      <c r="U66" s="1">
        <f t="shared" si="21"/>
        <v>50</v>
      </c>
      <c r="V66" s="1">
        <f t="shared" si="9"/>
        <v>75</v>
      </c>
    </row>
    <row r="67" spans="1:22" x14ac:dyDescent="0.25">
      <c r="A67" s="1" t="s">
        <v>23</v>
      </c>
      <c r="B67" s="1">
        <f>_xlfn.XLOOKUP(A67,BaseHouse[House Base],BaseHouse[Width (ft)],"",0,1)</f>
        <v>40</v>
      </c>
      <c r="C67" s="1">
        <f>_xlfn.XLOOKUP(A67,BaseHouse[House Base],BaseHouse[Depth (ft)],"",0,1)</f>
        <v>75</v>
      </c>
      <c r="D67" s="1" t="s">
        <v>36</v>
      </c>
      <c r="E67" s="1" t="str">
        <f>IF(D67="Yes",_xlfn.XLOOKUP(A67,BaseHouse[House Base],BaseHouse[3-Car Side],,0,1),"N/A")</f>
        <v>Right</v>
      </c>
      <c r="F67" s="1">
        <f>IF(D67="Yes",_xlfn.XLOOKUP(A67,BaseHouse[House Base],BaseHouse[3-Car Dim],,0,1),"N/A")</f>
        <v>10</v>
      </c>
      <c r="G67" s="1" t="s">
        <v>37</v>
      </c>
      <c r="H67" s="1"/>
      <c r="I67" s="1" t="str">
        <f t="shared" si="18"/>
        <v>No</v>
      </c>
      <c r="J67" s="1" t="s">
        <v>36</v>
      </c>
      <c r="K67" s="1">
        <v>4</v>
      </c>
      <c r="L67" s="1" t="str">
        <f t="shared" si="19"/>
        <v>Yes</v>
      </c>
      <c r="M67" s="1" t="s">
        <v>37</v>
      </c>
      <c r="N67" s="1"/>
      <c r="O67" s="1"/>
      <c r="P67" s="1" t="str">
        <f t="shared" si="20"/>
        <v>No</v>
      </c>
      <c r="Q67" s="1" t="s">
        <v>37</v>
      </c>
      <c r="R67" s="1"/>
      <c r="S67" s="1" t="s">
        <v>37</v>
      </c>
      <c r="T67" s="1"/>
      <c r="U67" s="1">
        <f t="shared" si="21"/>
        <v>50</v>
      </c>
      <c r="V67" s="1">
        <f t="shared" si="9"/>
        <v>75</v>
      </c>
    </row>
  </sheetData>
  <mergeCells count="1">
    <mergeCell ref="A1:B1"/>
  </mergeCells>
  <dataValidations count="4">
    <dataValidation type="list" allowBlank="1" showInputMessage="1" showErrorMessage="1" sqref="A6:A67" xr:uid="{F63AAD51-B2DF-4875-BA7D-E9FFBD6ACB05}">
      <formula1>INDIRECT("HouseTypes[House Base]")</formula1>
    </dataValidation>
    <dataValidation type="list" allowBlank="1" showInputMessage="1" showErrorMessage="1" sqref="D6:D67 M6:M67 Q6:Q67 J6:J67 G6:G67 S6:S67" xr:uid="{8F9A3D46-530A-42B5-B2C5-FC8AD30715AC}">
      <formula1>INDIRECT("YesNo[Yes or No]")</formula1>
    </dataValidation>
    <dataValidation type="list" allowBlank="1" showInputMessage="1" showErrorMessage="1" sqref="H6:H67 T6:T67 K6:K67 N6:N67 R6:R67" xr:uid="{7B0DF163-7CDF-40B3-BA5A-B6B27D6E5097}">
      <formula1>INDIRECT("AddLng[Additional Length]")</formula1>
    </dataValidation>
    <dataValidation type="list" allowBlank="1" showInputMessage="1" showErrorMessage="1" sqref="O6:O67" xr:uid="{BBC920DE-B1E2-4B15-81DC-C12FB6D9B210}">
      <formula1>INDIRECT("OptFtPrt[Option Locations]")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Lot Checker</vt:lpstr>
      <vt:lpstr>Lot Details</vt:lpstr>
      <vt:lpstr>Reference 1</vt:lpstr>
      <vt:lpstr>Base Houses</vt:lpstr>
      <vt:lpstr>House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Freebourn</dc:creator>
  <cp:lastModifiedBy>Shane Freebourn</cp:lastModifiedBy>
  <dcterms:created xsi:type="dcterms:W3CDTF">2024-02-26T13:51:49Z</dcterms:created>
  <dcterms:modified xsi:type="dcterms:W3CDTF">2026-02-21T17:48:48Z</dcterms:modified>
</cp:coreProperties>
</file>